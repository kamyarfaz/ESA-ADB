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drawings/charts/chart8.xml" ContentType="application/vnd.openxmlformats-officedocument.drawingml.chart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drawings/charts/chart9.xml" ContentType="application/vnd.openxmlformats-officedocument.drawingml.chart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drawings/charts/chart10.xml" ContentType="application/vnd.openxmlformats-officedocument.drawingml.chart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drawings/charts/chart11.xml" ContentType="application/vnd.openxmlformats-officedocument.drawingml.chart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drawings/charts/chart12.xml" ContentType="application/vnd.openxmlformats-officedocument.drawingml.chart+xml"/>
  <Override PartName="/xl/worksheets/sheet16.xml" ContentType="application/vnd.openxmlformats-officedocument.spreadsheetml.worksheet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tables/table4.xml" ContentType="application/vnd.openxmlformats-officedocument.spreadsheetml.table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tables/table6.xml" ContentType="application/vnd.openxmlformats-officedocument.spreadsheetml.table+xml"/>
  <Override PartName="/xl/worksheets/sheet20.xml" ContentType="application/vnd.openxmlformats-officedocument.spreadsheetml.worksheet+xml"/>
  <Override PartName="/xl/tables/table7.xml" ContentType="application/vnd.openxmlformats-officedocument.spreadsheetml.table+xml"/>
  <Override PartName="/xl/worksheets/sheet21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4bdd2171e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392f66a81c394a63"/>
    <x:sheet xmlns:r="http://schemas.openxmlformats.org/officeDocument/2006/relationships" name="Method guide" sheetId="2" r:id="Rb2ee5196c07041f3"/>
    <x:sheet xmlns:r="http://schemas.openxmlformats.org/officeDocument/2006/relationships" name="Assessment results" sheetId="3" r:id="R90a35549b2d545b0"/>
    <x:sheet xmlns:r="http://schemas.openxmlformats.org/officeDocument/2006/relationships" name="Development 40 epochs" sheetId="4" r:id="R1b9e48c73a0246ce"/>
    <x:sheet xmlns:r="http://schemas.openxmlformats.org/officeDocument/2006/relationships" name="Masking" sheetId="5" r:id="R0b45835e94bd4e8f"/>
    <x:sheet xmlns:r="http://schemas.openxmlformats.org/officeDocument/2006/relationships" name="Masked overlap" sheetId="6" r:id="Re2edd18cd06344bc"/>
    <x:sheet xmlns:r="http://schemas.openxmlformats.org/officeDocument/2006/relationships" name="No short rolls" sheetId="7" r:id="R8f597c5af022466d"/>
    <x:sheet xmlns:r="http://schemas.openxmlformats.org/officeDocument/2006/relationships" name="Threshold policy" sheetId="8" r:id="R52bd1f9350514f3b"/>
    <x:sheet xmlns:r="http://schemas.openxmlformats.org/officeDocument/2006/relationships" name="Augmentation seeds" sheetId="9" r:id="R6307f79185f345ec"/>
    <x:sheet xmlns:r="http://schemas.openxmlformats.org/officeDocument/2006/relationships" name="Full period" sheetId="10" r:id="Rf484968b4d1f4c78"/>
    <x:sheet xmlns:r="http://schemas.openxmlformats.org/officeDocument/2006/relationships" name="Timing comparison" sheetId="11" r:id="R0acc8a78de464b38"/>
    <x:sheet xmlns:r="http://schemas.openxmlformats.org/officeDocument/2006/relationships" name="Forecasts" sheetId="12" r:id="R342c82b343864363"/>
    <x:sheet xmlns:r="http://schemas.openxmlformats.org/officeDocument/2006/relationships" name="Alarm rules" sheetId="13" r:id="Rf1c1f62da7f848c5"/>
    <x:sheet xmlns:r="http://schemas.openxmlformats.org/officeDocument/2006/relationships" name="OR combination" sheetId="14" r:id="Re05023c8170549d2"/>
    <x:sheet xmlns:r="http://schemas.openxmlformats.org/officeDocument/2006/relationships" name="Historical scoring" sheetId="15" r:id="Rad09f30eeae04ad6"/>
    <x:sheet xmlns:r="http://schemas.openxmlformats.org/officeDocument/2006/relationships" name="Historical channel audit" sheetId="16" r:id="Ra9a12286641c4b01"/>
    <x:sheet xmlns:r="http://schemas.openxmlformats.org/officeDocument/2006/relationships" name="Calibration only" sheetId="17" r:id="R1e6079a72fe84738"/>
    <x:sheet xmlns:r="http://schemas.openxmlformats.org/officeDocument/2006/relationships" name="Run protocols" sheetId="18" r:id="R5381d7c326414d3a"/>
    <x:sheet xmlns:r="http://schemas.openxmlformats.org/officeDocument/2006/relationships" name="Training history" sheetId="19" r:id="Rbe48642315964b91"/>
    <x:sheet xmlns:r="http://schemas.openxmlformats.org/officeDocument/2006/relationships" name="Sources" sheetId="20" r:id="R93d750e6fdfd4601"/>
    <x:sheet xmlns:r="http://schemas.openxmlformats.org/officeDocument/2006/relationships" name="Assessment coverage" sheetId="21" r:id="R2ed09f4c214242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000"/>
    <x:numFmt numFmtId="202" formatCode="#,##0.000"/>
    <x:numFmt numFmtId="203" formatCode="0.00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E50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9c6c9dedc47d0" /><Relationship Type="http://schemas.openxmlformats.org/officeDocument/2006/relationships/theme" Target="/xl/theme/theme1.xml" Id="Rc48c7035052042b1" /><Relationship Type="http://schemas.openxmlformats.org/officeDocument/2006/relationships/sharedStrings" Target="/xl/sharedStrings.xml" Id="R180c6dd33f344c14" /><Relationship Type="http://schemas.openxmlformats.org/officeDocument/2006/relationships/worksheet" Target="/xl/worksheets/sheet1.xml" Id="R392f66a81c394a63" /><Relationship Type="http://schemas.openxmlformats.org/officeDocument/2006/relationships/worksheet" Target="/xl/worksheets/sheet2.xml" Id="Rb2ee5196c07041f3" /><Relationship Type="http://schemas.openxmlformats.org/officeDocument/2006/relationships/worksheet" Target="/xl/worksheets/sheet3.xml" Id="R90a35549b2d545b0" /><Relationship Type="http://schemas.openxmlformats.org/officeDocument/2006/relationships/worksheet" Target="/xl/worksheets/sheet4.xml" Id="R1b9e48c73a0246ce" /><Relationship Type="http://schemas.openxmlformats.org/officeDocument/2006/relationships/worksheet" Target="/xl/worksheets/sheet5.xml" Id="R0b45835e94bd4e8f" /><Relationship Type="http://schemas.openxmlformats.org/officeDocument/2006/relationships/worksheet" Target="/xl/worksheets/sheet6.xml" Id="Re2edd18cd06344bc" /><Relationship Type="http://schemas.openxmlformats.org/officeDocument/2006/relationships/worksheet" Target="/xl/worksheets/sheet7.xml" Id="R8f597c5af022466d" /><Relationship Type="http://schemas.openxmlformats.org/officeDocument/2006/relationships/worksheet" Target="/xl/worksheets/sheet8.xml" Id="R52bd1f9350514f3b" /><Relationship Type="http://schemas.openxmlformats.org/officeDocument/2006/relationships/worksheet" Target="/xl/worksheets/sheet9.xml" Id="R6307f79185f345ec" /><Relationship Type="http://schemas.openxmlformats.org/officeDocument/2006/relationships/worksheet" Target="/xl/worksheets/sheet10.xml" Id="Rf484968b4d1f4c78" /><Relationship Type="http://schemas.openxmlformats.org/officeDocument/2006/relationships/worksheet" Target="/xl/worksheets/sheet11.xml" Id="R0acc8a78de464b38" /><Relationship Type="http://schemas.openxmlformats.org/officeDocument/2006/relationships/worksheet" Target="/xl/worksheets/sheet12.xml" Id="R342c82b343864363" /><Relationship Type="http://schemas.openxmlformats.org/officeDocument/2006/relationships/worksheet" Target="/xl/worksheets/sheet13.xml" Id="Rf1c1f62da7f848c5" /><Relationship Type="http://schemas.openxmlformats.org/officeDocument/2006/relationships/worksheet" Target="/xl/worksheets/sheet14.xml" Id="Re05023c8170549d2" /><Relationship Type="http://schemas.openxmlformats.org/officeDocument/2006/relationships/worksheet" Target="/xl/worksheets/sheet15.xml" Id="Rad09f30eeae04ad6" /><Relationship Type="http://schemas.openxmlformats.org/officeDocument/2006/relationships/worksheet" Target="/xl/worksheets/sheet16.xml" Id="Ra9a12286641c4b01" /><Relationship Type="http://schemas.openxmlformats.org/officeDocument/2006/relationships/worksheet" Target="/xl/worksheets/sheet17.xml" Id="R1e6079a72fe84738" /><Relationship Type="http://schemas.openxmlformats.org/officeDocument/2006/relationships/worksheet" Target="/xl/worksheets/sheet18.xml" Id="R5381d7c326414d3a" /><Relationship Type="http://schemas.openxmlformats.org/officeDocument/2006/relationships/worksheet" Target="/xl/worksheets/sheet19.xml" Id="Rbe48642315964b91" /><Relationship Type="http://schemas.openxmlformats.org/officeDocument/2006/relationships/worksheet" Target="/xl/worksheets/sheet20.xml" Id="R93d750e6fdfd4601" /><Relationship Type="http://schemas.openxmlformats.org/officeDocument/2006/relationships/worksheet" Target="/xl/worksheets/sheet21.xml" Id="R2ed09f4c214242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0ad3c3e9da4b1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6ec183eafc8c455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00b76de88ae48f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9464a6d858d4772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3c9f54d81e214d1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3c387df60a174a88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943cce1998934e3a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0420a4607a5242c3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53fae55965af4578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fba7f5214f314621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a163410722c842c8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2cd6916fb0ba4f5e" /></Relationships>
</file>

<file path=xl/drawings/charts/chart1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200">
                <a:latin typeface="Arial"/>
                <a:ea typeface="Arial"/>
                <a:cs typeface="Arial"/>
              </a:rPr>
              <a:t>Development 40 epochs: system F0.5</a:t>
            </a:r>
          </a:p>
        </c:rich>
      </c:tx>
      <c:overlay val="0"/>
      <c:txPr>
        <a:bodyPr anchorCtr="1"/>
        <a:lstStyle/>
        <a:p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Transformer AE + original augmentation</c:v>
          </c:tx>
          <c:spPr>
            <a:solidFill>
              <a:srgbClr val="3569A2"/>
            </a:solidFill>
          </c:spPr>
          <c:cat>
            <c:strRef>
              <c:f>'Development 40 epochs'!$A$2:$A$4</c:f>
              <c:strCache>
                <c:ptCount val="0"/>
              </c:strCache>
            </c:strRef>
          </c:cat>
          <c:val>
            <c:numRef>
              <c:f>'Development 40 epochs'!$B$2:$B$4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Expanded inputs</c:v>
          </c:tx>
          <c:spPr>
            <a:solidFill>
              <a:srgbClr val="DF8739"/>
            </a:solidFill>
          </c:spPr>
          <c:cat>
            <c:strRef>
              <c:f>'Development 40 epochs'!$A$2:$A$4</c:f>
              <c:strCache>
                <c:ptCount val="0"/>
              </c:strCache>
            </c:strRef>
          </c:cat>
          <c:val>
            <c:numRef>
              <c:f>'Development 40 epochs'!$C$2:$C$4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Reconstruction only</c:v>
          </c:tx>
          <c:spPr>
            <a:solidFill>
              <a:srgbClr val="27856C"/>
            </a:solidFill>
          </c:spPr>
          <c:cat>
            <c:strRef>
              <c:f>'Development 40 epochs'!$A$2:$A$4</c:f>
              <c:strCache>
                <c:ptCount val="0"/>
              </c:strCache>
            </c:strRef>
          </c:cat>
          <c:val>
            <c:numRef>
              <c:f>'Development 40 epochs'!$D$2:$D$4</c:f>
              <c:numCache>
                <c:formatCode>0.0000</c:formatCode>
                <c:ptCount val="0"/>
              </c:numCache>
            </c:numRef>
          </c:val>
        </c:ser>
        <c:ser>
          <c:idx val="3"/>
          <c:order val="3"/>
          <c:tx>
            <c:v>Specialist 14,21,29</c:v>
          </c:tx>
          <c:spPr>
            <a:solidFill>
              <a:srgbClr val="8C6BB1"/>
            </a:solidFill>
          </c:spPr>
          <c:cat>
            <c:strRef>
              <c:f>'Development 40 epochs'!$A$2:$A$4</c:f>
              <c:strCache>
                <c:ptCount val="0"/>
              </c:strCache>
            </c:strRef>
          </c:cat>
          <c:val>
            <c:numRef>
              <c:f>'Development 40 epochs'!$E$2:$E$4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2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200">
                <a:latin typeface="Arial"/>
                <a:ea typeface="Arial"/>
                <a:cs typeface="Arial"/>
              </a:rPr>
              <a:t>Masking: system F0.5</a:t>
            </a:r>
          </a:p>
        </c:rich>
      </c:tx>
      <c:overlay val="0"/>
      <c:txPr>
        <a:bodyPr anchorCtr="1"/>
        <a:lstStyle/>
        <a:p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Unmasked control</c:v>
          </c:tx>
          <c:spPr>
            <a:solidFill>
              <a:srgbClr val="3569A2"/>
            </a:solidFill>
          </c:spPr>
          <c:cat>
            <c:strRef>
              <c:f>'Masking'!$A$2:$A$4</c:f>
              <c:strCache>
                <c:ptCount val="0"/>
              </c:strCache>
            </c:strRef>
          </c:cat>
          <c:val>
            <c:numRef>
              <c:f>'Masking'!$B$2:$B$4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Masked reconstruction</c:v>
          </c:tx>
          <c:spPr>
            <a:solidFill>
              <a:srgbClr val="DF8739"/>
            </a:solidFill>
          </c:spPr>
          <c:cat>
            <c:strRef>
              <c:f>'Masking'!$A$2:$A$4</c:f>
              <c:strCache>
                <c:ptCount val="0"/>
              </c:strCache>
            </c:strRef>
          </c:cat>
          <c:val>
            <c:numRef>
              <c:f>'Masking'!$C$2:$C$4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3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200">
                <a:latin typeface="Arial"/>
                <a:ea typeface="Arial"/>
                <a:cs typeface="Arial"/>
              </a:rPr>
              <a:t>Masked overlap: system F0.5</a:t>
            </a:r>
          </a:p>
        </c:rich>
      </c:tx>
      <c:overlay val="0"/>
      <c:txPr>
        <a:bodyPr anchorCtr="1"/>
        <a:lstStyle/>
        <a:p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Masked reconstruction</c:v>
          </c:tx>
          <c:spPr>
            <a:solidFill>
              <a:srgbClr val="3569A2"/>
            </a:solidFill>
          </c:spPr>
          <c:cat>
            <c:strRef>
              <c:f>'Masked overlap'!$A$2</c:f>
              <c:strCache>
                <c:ptCount val="0"/>
              </c:strCache>
            </c:strRef>
          </c:cat>
          <c:val>
            <c:numRef>
              <c:f>'Masked overlap'!$B$2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Masked hidden-overlap scoring</c:v>
          </c:tx>
          <c:spPr>
            <a:solidFill>
              <a:srgbClr val="DF8739"/>
            </a:solidFill>
          </c:spPr>
          <c:cat>
            <c:strRef>
              <c:f>'Masked overlap'!$A$2</c:f>
              <c:strCache>
                <c:ptCount val="0"/>
              </c:strCache>
            </c:strRef>
          </c:cat>
          <c:val>
            <c:numRef>
              <c:f>'Masked overlap'!$C$2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4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200">
                <a:latin typeface="Arial"/>
                <a:ea typeface="Arial"/>
                <a:cs typeface="Arial"/>
              </a:rPr>
              <a:t>No short rolls: system F0.5</a:t>
            </a:r>
          </a:p>
        </c:rich>
      </c:tx>
      <c:overlay val="0"/>
      <c:txPr>
        <a:bodyPr anchorCtr="1"/>
        <a:lstStyle/>
        <a:p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Short coordinated generator</c:v>
          </c:tx>
          <c:spPr>
            <a:solidFill>
              <a:srgbClr val="3569A2"/>
            </a:solidFill>
          </c:spPr>
          <c:cat>
            <c:strRef>
              <c:f>'No short rolls'!$A$2:$A$4</c:f>
              <c:strCache>
                <c:ptCount val="0"/>
              </c:strCache>
            </c:strRef>
          </c:cat>
          <c:val>
            <c:numRef>
              <c:f>'No short rolls'!$B$2:$B$4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Short generator without rolls</c:v>
          </c:tx>
          <c:spPr>
            <a:solidFill>
              <a:srgbClr val="DF8739"/>
            </a:solidFill>
          </c:spPr>
          <c:cat>
            <c:strRef>
              <c:f>'No short rolls'!$A$2:$A$4</c:f>
              <c:strCache>
                <c:ptCount val="0"/>
              </c:strCache>
            </c:strRef>
          </c:cat>
          <c:val>
            <c:numRef>
              <c:f>'No short rolls'!$C$2:$C$4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5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200">
                <a:latin typeface="Arial"/>
                <a:ea typeface="Arial"/>
                <a:cs typeface="Arial"/>
              </a:rPr>
              <a:t>Threshold policy: system F0.5</a:t>
            </a:r>
          </a:p>
        </c:rich>
      </c:tx>
      <c:overlay val="0"/>
      <c:txPr>
        <a:bodyPr anchorCtr="1"/>
        <a:lstStyle/>
        <a:p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Original threshold grid</c:v>
          </c:tx>
          <c:spPr>
            <a:solidFill>
              <a:srgbClr val="3569A2"/>
            </a:solidFill>
          </c:spPr>
          <c:cat>
            <c:strRef>
              <c:f>'Threshold policy'!$A$2:$A$4</c:f>
              <c:strCache>
                <c:ptCount val="0"/>
              </c:strCache>
            </c:strRef>
          </c:cat>
          <c:val>
            <c:numRef>
              <c:f>'Threshold policy'!$B$2:$B$4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Dense grid + nominal alarm cap</c:v>
          </c:tx>
          <c:spPr>
            <a:solidFill>
              <a:srgbClr val="DF8739"/>
            </a:solidFill>
          </c:spPr>
          <c:cat>
            <c:strRef>
              <c:f>'Threshold policy'!$A$2:$A$4</c:f>
              <c:strCache>
                <c:ptCount val="0"/>
              </c:strCache>
            </c:strRef>
          </c:cat>
          <c:val>
            <c:numRef>
              <c:f>'Threshold policy'!$C$2:$C$4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6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200">
                <a:latin typeface="Arial"/>
                <a:ea typeface="Arial"/>
                <a:cs typeface="Arial"/>
              </a:rPr>
              <a:t>Modified augmentation: three-seed mean F0.5</a:t>
            </a:r>
          </a:p>
        </c:rich>
      </c:tx>
      <c:overlay val="0"/>
      <c:txPr>
        <a:bodyPr anchorCtr="1"/>
        <a:lstStyle/>
        <a:p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Original mean</c:v>
          </c:tx>
          <c:spPr>
            <a:solidFill>
              <a:srgbClr val="3569A2"/>
            </a:solidFill>
          </c:spPr>
          <c:cat>
            <c:strRef>
              <c:f>'Augmentation seeds'!$A$2:$A$4</c:f>
              <c:strCache>
                <c:ptCount val="0"/>
              </c:strCache>
            </c:strRef>
          </c:cat>
          <c:val>
            <c:numRef>
              <c:f>'Augmentation seeds'!$B$2:$B$4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Short mean</c:v>
          </c:tx>
          <c:spPr>
            <a:solidFill>
              <a:srgbClr val="DF8739"/>
            </a:solidFill>
          </c:spPr>
          <c:cat>
            <c:strRef>
              <c:f>'Augmentation seeds'!$A$2:$A$4</c:f>
              <c:strCache>
                <c:ptCount val="0"/>
              </c:strCache>
            </c:strRef>
          </c:cat>
          <c:val>
            <c:numRef>
              <c:f>'Augmentation seeds'!$C$2:$C$4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7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200">
                <a:latin typeface="Arial"/>
                <a:ea typeface="Arial"/>
                <a:cs typeface="Arial"/>
              </a:rPr>
              <a:t>Frozen baseline: annual system F0.5</a:t>
            </a:r>
          </a:p>
        </c:rich>
      </c:tx>
      <c:overlay val="0"/>
      <c:txPr>
        <a:bodyPr anchorCtr="1"/>
        <a:lstStyle/>
        <a:p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System F0.5</c:v>
          </c:tx>
          <c:marker>
            <c:symbol val="none"/>
          </c:marker>
          <c:cat>
            <c:strRef>
              <c:f>'Full period'!$I$2:$I$8</c:f>
              <c:strCache>
                <c:ptCount val="0"/>
              </c:strCache>
            </c:strRef>
          </c:cat>
          <c:val>
            <c:numRef>
              <c:f>'Full period'!$J$2:$J$8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8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200">
                <a:latin typeface="Arial"/>
                <a:ea typeface="Arial"/>
                <a:cs typeface="Arial"/>
              </a:rPr>
              <a:t>Timing comparison: system F0.5</a:t>
            </a:r>
          </a:p>
        </c:rich>
      </c:tx>
      <c:overlay val="0"/>
      <c:txPr>
        <a:bodyPr anchorCtr="1"/>
        <a:lstStyle/>
        <a:p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Zero-context control</c:v>
          </c:tx>
          <c:spPr>
            <a:solidFill>
              <a:srgbClr val="3569A2"/>
            </a:solidFill>
          </c:spPr>
          <c:cat>
            <c:strRef>
              <c:f>'Timing comparison'!$A$2:$A$9</c:f>
              <c:strCache>
                <c:ptCount val="0"/>
              </c:strCache>
            </c:strRef>
          </c:cat>
          <c:val>
            <c:numRef>
              <c:f>'Timing comparison'!$B$2:$B$9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Observation-age context</c:v>
          </c:tx>
          <c:spPr>
            <a:solidFill>
              <a:srgbClr val="DF8739"/>
            </a:solidFill>
          </c:spPr>
          <c:cat>
            <c:strRef>
              <c:f>'Timing comparison'!$A$2:$A$9</c:f>
              <c:strCache>
                <c:ptCount val="0"/>
              </c:strCache>
            </c:strRef>
          </c:cat>
          <c:val>
            <c:numRef>
              <c:f>'Timing comparison'!$C$2:$C$9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9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200">
                <a:latin typeface="Arial"/>
                <a:ea typeface="Arial"/>
                <a:cs typeface="Arial"/>
              </a:rPr>
              <a:t>Forecasts: calibration and assessment F0.5</a:t>
            </a:r>
          </a:p>
        </c:rich>
      </c:tx>
      <c:overlay val="0"/>
      <c:txPr>
        <a:bodyPr anchorCtr="1"/>
        <a:lstStyle/>
        <a:p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Calibration F0.5</c:v>
          </c:tx>
          <c:spPr>
            <a:solidFill>
              <a:srgbClr val="3569A2"/>
            </a:solidFill>
          </c:spPr>
          <c:cat>
            <c:strRef>
              <c:f>'Forecasts'!$A$2:$A$5</c:f>
              <c:strCache>
                <c:ptCount val="0"/>
              </c:strCache>
            </c:strRef>
          </c:cat>
          <c:val>
            <c:numRef>
              <c:f>'Forecasts'!$B$2:$B$5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Assessment F0.5</c:v>
          </c:tx>
          <c:spPr>
            <a:solidFill>
              <a:srgbClr val="DF8739"/>
            </a:solidFill>
          </c:spPr>
          <c:cat>
            <c:strRef>
              <c:f>'Forecasts'!$A$2:$A$5</c:f>
              <c:strCache>
                <c:ptCount val="0"/>
              </c:strCache>
            </c:strRef>
          </c:cat>
          <c:val>
            <c:numRef>
              <c:f>'Forecasts'!$C$2:$C$5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10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200">
                <a:latin typeface="Arial"/>
                <a:ea typeface="Arial"/>
                <a:cs typeface="Arial"/>
              </a:rPr>
              <a:t>Alarm confirmation: system F0.5</a:t>
            </a:r>
          </a:p>
        </c:rich>
      </c:tx>
      <c:overlay val="0"/>
      <c:txPr>
        <a:bodyPr anchorCtr="1"/>
        <a:lstStyle/>
        <a:p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Original alarm F0.5</c:v>
          </c:tx>
          <c:spPr>
            <a:solidFill>
              <a:srgbClr val="3569A2"/>
            </a:solidFill>
          </c:spPr>
          <c:cat>
            <c:strRef>
              <c:f>'Alarm rules'!$A$2:$A$4</c:f>
              <c:strCache>
                <c:ptCount val="0"/>
              </c:strCache>
            </c:strRef>
          </c:cat>
          <c:val>
            <c:numRef>
              <c:f>'Alarm rules'!$B$2:$B$4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Confirmed alarm F0.5</c:v>
          </c:tx>
          <c:spPr>
            <a:solidFill>
              <a:srgbClr val="DF8739"/>
            </a:solidFill>
          </c:spPr>
          <c:cat>
            <c:strRef>
              <c:f>'Alarm rules'!$A$2:$A$4</c:f>
              <c:strCache>
                <c:ptCount val="0"/>
              </c:strCache>
            </c:strRef>
          </c:cat>
          <c:val>
            <c:numRef>
              <c:f>'Alarm rules'!$C$2:$C$4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11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200">
                <a:latin typeface="Arial"/>
                <a:ea typeface="Arial"/>
                <a:cs typeface="Arial"/>
              </a:rPr>
              <a:t>OR combination: system F0.5</a:t>
            </a:r>
          </a:p>
        </c:rich>
      </c:tx>
      <c:overlay val="0"/>
      <c:txPr>
        <a:bodyPr anchorCtr="1"/>
        <a:lstStyle/>
        <a:p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Baseline F0.5</c:v>
          </c:tx>
          <c:spPr>
            <a:solidFill>
              <a:srgbClr val="3569A2"/>
            </a:solidFill>
          </c:spPr>
          <c:cat>
            <c:strRef>
              <c:f>'OR combination'!$A$2:$A$4</c:f>
              <c:strCache>
                <c:ptCount val="0"/>
              </c:strCache>
            </c:strRef>
          </c:cat>
          <c:val>
            <c:numRef>
              <c:f>'OR combination'!$B$2:$B$4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Specialist F0.5</c:v>
          </c:tx>
          <c:spPr>
            <a:solidFill>
              <a:srgbClr val="DF8739"/>
            </a:solidFill>
          </c:spPr>
          <c:cat>
            <c:strRef>
              <c:f>'OR combination'!$A$2:$A$4</c:f>
              <c:strCache>
                <c:ptCount val="0"/>
              </c:strCache>
            </c:strRef>
          </c:cat>
          <c:val>
            <c:numRef>
              <c:f>'OR combination'!$C$2:$C$4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OR combination F0.5</c:v>
          </c:tx>
          <c:spPr>
            <a:solidFill>
              <a:srgbClr val="27856C"/>
            </a:solidFill>
          </c:spPr>
          <c:cat>
            <c:strRef>
              <c:f>'OR combination'!$A$2:$A$4</c:f>
              <c:strCache>
                <c:ptCount val="0"/>
              </c:strCache>
            </c:strRef>
          </c:cat>
          <c:val>
            <c:numRef>
              <c:f>'OR combination'!$D$2:$D$4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w="9525">
      <a:solidFill>
        <a:srgbClr val="D9D9D9"/>
      </a:solidFill>
      <a:prstDash val="solid"/>
    </a:ln>
  </c:spPr>
</c:chartSpace>
</file>

<file path=xl/drawings/charts/chart12.xml><?xml version="1.0" encoding="utf-8"?>
<c:chartSpace xmlns:a="http://schemas.openxmlformats.org/drawingml/2006/main" xmlns:c="http://schemas.openxmlformats.org/drawingml/2006/chart">
  <c:lang val="en-US"/>
  <c:roundedCorners val="0"/>
  <c:chart>
    <c:title>
      <c:tx>
        <c:rich>
          <a:bodyPr/>
          <a:lstStyle/>
          <a:p>
            <a:r>
              <a:rPr sz="1200">
                <a:latin typeface="Arial"/>
                <a:ea typeface="Arial"/>
                <a:cs typeface="Arial"/>
              </a:rPr>
              <a:t>Historical scoring: paired F0.5</a:t>
            </a:r>
          </a:p>
        </c:rich>
      </c:tx>
      <c:overlay val="0"/>
      <c:txPr>
        <a:bodyPr anchorCtr="1"/>
        <a:lstStyle/>
        <a:p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Calibration F0.5</c:v>
          </c:tx>
          <c:spPr>
            <a:solidFill>
              <a:srgbClr val="3569A2"/>
            </a:solidFill>
          </c:spPr>
          <c:cat>
            <c:strRef>
              <c:f>'Historical scoring'!$A$2:$A$3</c:f>
              <c:strCache>
                <c:ptCount val="0"/>
              </c:strCache>
            </c:strRef>
          </c:cat>
          <c:val>
            <c:numRef>
              <c:f>'Historical scoring'!$B$2:$B$3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Assessment F0.5</c:v>
          </c:tx>
          <c:spPr>
            <a:solidFill>
              <a:srgbClr val="DF8739"/>
            </a:solidFill>
          </c:spPr>
          <c:cat>
            <c:strRef>
              <c:f>'Historical scoring'!$A$2:$A$3</c:f>
              <c:strCache>
                <c:ptCount val="0"/>
              </c:strCache>
            </c:strRef>
          </c:cat>
          <c:val>
            <c:numRef>
              <c:f>'Historical scoring'!$C$2:$C$3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  <c:majorUnit val="0.2"/>
      </c:valAx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0ad3c3e9da4b1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c183eafc8c455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0b76de88ae48f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464a6d858d477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9f54d81e214d1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387df60a174a8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7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3cce1998934e3a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7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20a4607a5242c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fae55965af4578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a7f5214f31462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63410722c842c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d6916fb0ba4f5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2" displayName="T2" ref="A1:E18" headerRowCount="1" totalsRowCount="0" totalsRowShown="0">
  <x:tableColumns count="5">
    <x:tableColumn id="1" name="Method"/>
    <x:tableColumn id="2" name="What we changed"/>
    <x:tableColumn id="3" name="Why"/>
    <x:tableColumn id="4" name="What happened"/>
    <x:tableColumn id="5" name="Available assess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" displayName="T3" ref="A1:AJ145" headerRowCount="1" totalsRowCount="0" totalsRowShown="0">
  <x:tableColumns count="36">
    <x:tableColumn id="1" name="Result ID"/>
    <x:tableColumn id="2" name="Comparison group"/>
    <x:tableColumn id="3" name="Method"/>
    <x:tableColumn id="4" name="Run"/>
    <x:tableColumn id="5" name="Seed"/>
    <x:tableColumn id="6" name="Input channels"/>
    <x:tableColumn id="7" name="Assessment period"/>
    <x:tableColumn id="8" name="Event scope"/>
    <x:tableColumn id="9" name="Calibration F0.5 (system)"/>
    <x:tableColumn id="10" name="Assessment F0.5"/>
    <x:tableColumn id="11" name="EW precision"/>
    <x:tableColumn id="12" name="EW recall"/>
    <x:tableColumn id="13" name="Detected events"/>
    <x:tableColumn id="14" name="False alarm events"/>
    <x:tableColumn id="15" name="Missed events"/>
    <x:tableColumn id="16" name="True event IDs"/>
    <x:tableColumn id="17" name="Predicted intervals"/>
    <x:tableColumn id="18" name="Selected epoch"/>
    <x:tableColumn id="19" name="Epoch budget"/>
    <x:tableColumn id="20" name="Window cap (0 = all)"/>
    <x:tableColumn id="21" name="Train start"/>
    <x:tableColumn id="22" name="Train end exclusive"/>
    <x:tableColumn id="23" name="Calibration start"/>
    <x:tableColumn id="24" name="Calibration end exclusive"/>
    <x:tableColumn id="25" name="Assessment start"/>
    <x:tableColumn id="26" name="Assessment end"/>
    <x:tableColumn id="27" name="Interval convention"/>
    <x:tableColumn id="28" name="Nominal false alarm seconds"/>
    <x:tableColumn id="29" name="Nominal seconds"/>
    <x:tableColumn id="30" name="Nominal false alarm fraction"/>
    <x:tableColumn id="31" name="False alarm events/day"/>
    <x:tableColumn id="32" name="Alarming precision"/>
    <x:tableColumn id="33" name="Metric version"/>
    <x:tableColumn id="34" name="Assessment data"/>
    <x:tableColumn id="35" name="Interpretation notes"/>
    <x:tableColumn id="36" name="Source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6" displayName="T16" ref="A1:T32" headerRowCount="1" totalsRowCount="0" totalsRowShown="0">
  <x:tableColumns count="20">
    <x:tableColumn id="1" name="run"/>
    <x:tableColumn id="2" name="channels"/>
    <x:tableColumn id="3" name="epoch"/>
    <x:tableColumn id="4" name="train_rows"/>
    <x:tableColumn id="5" name="original_val_rows"/>
    <x:tableColumn id="6" name="calibration_start"/>
    <x:tableColumn id="7" name="calibration_end"/>
    <x:tableColumn id="8" name="assessment_start"/>
    <x:tableColumn id="9" name="assessment_end"/>
    <x:tableColumn id="10" name="boundary"/>
    <x:tableColumn id="11" name="calibration_f05"/>
    <x:tableColumn id="12" name="F05"/>
    <x:tableColumn id="13" name="precision"/>
    <x:tableColumn id="14" name="recall"/>
    <x:tableColumn id="15" name="TP"/>
    <x:tableColumn id="16" name="FP"/>
    <x:tableColumn id="17" name="FN"/>
    <x:tableColumn id="18" name="metric"/>
    <x:tableColumn id="19" name="source"/>
    <x:tableColumn id="2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17" displayName="T17" ref="A1:K5" headerRowCount="1" totalsRowCount="0" totalsRowShown="0">
  <x:tableColumns count="11">
    <x:tableColumn id="1" name="method"/>
    <x:tableColumn id="2" name="scope"/>
    <x:tableColumn id="3" name="period"/>
    <x:tableColumn id="4" name="F05"/>
    <x:tableColumn id="5" name="precision"/>
    <x:tableColumn id="6" name="recall"/>
    <x:tableColumn id="7" name="TP"/>
    <x:tableColumn id="8" name="FP"/>
    <x:tableColumn id="9" name="FN"/>
    <x:tableColumn id="10" name="false_positive_seconds"/>
    <x:tableColumn id="11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18" displayName="T18" ref="A1:K22" headerRowCount="1" totalsRowCount="0" totalsRowShown="0">
  <x:tableColumns count="11">
    <x:tableColumn id="1" name="run"/>
    <x:tableColumn id="2" name="campaign"/>
    <x:tableColumn id="3" name="epochs"/>
    <x:tableColumn id="4" name="seed"/>
    <x:tableColumn id="5" name="batch_size"/>
    <x:tableColumn id="6" name="window_cap"/>
    <x:tableColumn id="7" name="channels"/>
    <x:tableColumn id="8" name="selection"/>
    <x:tableColumn id="9" name="scoring"/>
    <x:tableColumn id="10" name="limits"/>
    <x:tableColumn id="11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19" displayName="T19" ref="A1:I802" headerRowCount="1" totalsRowCount="0" totalsRowShown="0">
  <x:tableColumns count="9">
    <x:tableColumn id="1" name="run"/>
    <x:tableColumn id="2" name="arm"/>
    <x:tableColumn id="3" name="epoch"/>
    <x:tableColumn id="4" name="loss"/>
    <x:tableColumn id="5" name="normal_mse"/>
    <x:tableColumn id="6" name="pseudo_penalty"/>
    <x:tableColumn id="7" name="calibration_f05"/>
    <x:tableColumn id="8" name="seconds"/>
    <x:tableColumn id="9" name="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20" displayName="T20" ref="A1:D95" headerRowCount="1" totalsRowCount="0" totalsRowShown="0">
  <x:tableColumns count="4">
    <x:tableColumn id="1" name="Source ID"/>
    <x:tableColumn id="2" name="Run or folder identifier"/>
    <x:tableColumn id="3" name="Artifact"/>
    <x:tableColumn id="4" name="SHA-256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21" displayName="T21" ref="A1:F13" headerRowCount="1" totalsRowCount="0" totalsRowShown="0">
  <x:tableColumns count="6">
    <x:tableColumn id="1" name="Method family"/>
    <x:tableColumn id="2" name="2003 Apr–Dec"/>
    <x:tableColumn id="3" name="2004 Apr–Dec"/>
    <x:tableColumn id="4" name="2005 Apr–Dec"/>
    <x:tableColumn id="5" name="2007–2013"/>
    <x:tableColumn id="6" name="Comparison lim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875d0e5f8146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d5cda62a1f47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32ea947e1e54a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43c6d13c0f8546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8594bd7ddef447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134317cb3ab141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6bb6c07245ed4f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1f9af5e2d63941b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c56578e0a01a40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8.xml" Id="Reb5dd4619798423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9.xml" Id="R0d5e7eeed8c2401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0.xml" Id="R9a3d781c77c840a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1.xml" Id="R0e9c727be44c407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2.xml" Id="R3c4bb21abded40e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3.xml" Id="Rb6b28bc197064cb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4.xml" Id="R477a078033664f3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545e7420a353486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6.xml" Id="Rcfa0b3e4f7954a9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7.xml" Id="R05095712ed8a481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8.xml" Id="R72598bd31ee645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0" hidden="0" customWidth="1"/>
  </x:cols>
  <x:sheetData>
    <x:row r="1" ht="45" customHeight="1">
      <x:c r="A1" s="5" t="str">
        <x:v>Topic</x:v>
      </x:c>
      <x:c r="B1" s="5" t="str">
        <x:v>Explanation</x:v>
      </x:c>
    </x:row>
    <x:row r="2" ht="58" customHeight="1">
      <x:c r="A2" s="6" t="str">
        <x:v>Workbook scope</x:v>
      </x:c>
      <x:c r="B2" s="6" t="str">
        <x:v>Completed saved research through 30 September 2026. Includes negative results, calibration-only work and older corrected channel runs. No new training in this report.</x:v>
      </x:c>
    </x:row>
    <x:row r="3" ht="58" customHeight="1">
      <x:c r="A3" s="6" t="str">
        <x:v>Federico’s assessment requirement</x:v>
      </x:c>
      <x:c r="B3" s="6" t="str">
        <x:v>Within each comparison, keep real assessment observations, years, timestamps, annotations and event scope fixed. Select checkpoints and alarm settings using training/calibration only.</x:v>
      </x:c>
    </x:row>
    <x:row r="4" ht="58" customHeight="1">
      <x:c r="A4" s="6" t="str">
        <x:v>Real and generated data</x:v>
      </x:c>
      <x:c r="B4" s="6" t="str">
        <x:v>Assessment uses real ESA telemetry after the documented preprocessing and real event annotations. Synthetic anomalies occur in training only. Masked inference hides observed input patches but scores real target values.</x:v>
      </x:c>
    </x:row>
    <x:row r="5" ht="58" customHeight="1">
      <x:c r="A5" s="6" t="str">
        <x:v>Model inputs versus event scope</x:v>
      </x:c>
      <x:c r="B5" s="6" t="str">
        <x:v>Current main model sees channels 40–47. System scoring checks events across all 76 telemetry channels. Local scoring checks annotations on channels 40–47.</x:v>
      </x:c>
    </x:row>
    <x:row r="6" ht="58" customHeight="1">
      <x:c r="A6" s="6" t="str">
        <x:v>Development years</x:v>
      </x:c>
      <x:c r="B6" s="6" t="str">
        <x:v>2003, 2004 and 2005 each mean April–December assessment. Training uses earlier years. Calibration uses January–March of that year. These periods were inspected previously.</x:v>
      </x:c>
    </x:row>
    <x:row r="7" ht="58" customHeight="1">
      <x:c r="A7" s="6" t="str">
        <x:v>Full-period protocol</x:v>
      </x:c>
      <x:c r="B7" s="6" t="str">
        <x:v>Train 2000–2005. Calibrate 2006. Assess all months of 2007–2013 with a frozen rule. Annual rows are slices of those same predictions.</x:v>
      </x:c>
    </x:row>
    <x:row r="8" ht="58" customHeight="1">
      <x:c r="A8" s="6" t="str">
        <x:v>Fair comparison</x:v>
      </x:c>
      <x:c r="B8" s="6" t="str">
        <x:v>Compare within a named comparison group and matching event scope. Same years alone do not control training budget, initialization, preprocessing, information access or checkpoint selection.</x:v>
      </x:c>
    </x:row>
    <x:row r="9" ht="58" customHeight="1">
      <x:c r="A9" s="6" t="str">
        <x:v>Missing evaluations</x:v>
      </x:c>
      <x:c r="B9" s="6" t="str">
        <x:v>Blank numeric cells mean unavailable or not reported, never zero. Methods without 2007–2013 results have not yet been evaluated under the full-period protocol.</x:v>
      </x:c>
    </x:row>
    <x:row r="10" ht="58" customHeight="1">
      <x:c r="A10" s="6" t="str">
        <x:v>Historical results</x:v>
      </x:c>
      <x:c r="B10" s="6" t="str">
        <x:v>The historical audit uses existing weights and corrected metrics. It includes a final 2014-01-01 boundary sample. Original checkpoint selection and training splits differ from current runs.</x:v>
      </x:c>
    </x:row>
    <x:row r="11" ht="58" customHeight="1">
      <x:c r="A11" s="6" t="str">
        <x:v>Main reference</x:v>
      </x:c>
      <x:c r="B11" s="6" t="str">
        <x:v>Full-period baseline: local F0.5 0.8629066303 and system F0.5 0.8057217337. The system target ≥0.85 is not robustly achieved.</x:v>
      </x:c>
    </x:row>
    <x:row r="12" ht="58" customHeight="1">
      <x:c r="A12" s="6" t="str">
        <x:v>How to read the plots</x:v>
      </x:c>
      <x:c r="B12" s="6" t="str">
        <x:v>Each chart identifies a common assessment period. Modified augmentation averages three seeds. The no-short-roll follow-up has only seed 42. No best-seed selection.</x:v>
      </x:c>
    </x:row>
    <x:row r="13" ht="58" customHeight="1">
      <x:c r="A13" s="6" t="str">
        <x:v>Metric</x:v>
      </x:c>
      <x:c r="B13" s="6" t="str">
        <x:v>esa-ew-id-duration-v1. Corrected event precision P = TP/(TP+FP) × (1 − false-positive nominal seconds/nominal seconds). R = TP/(TP+FN). F0.5 = 1.25PR/(0.25P+R).</x:v>
      </x:c>
    </x:row>
    <x:row r="14" ht="58" customHeight="1">
      <x:c r="A14" s="6" t="str">
        <x:v>Event counts</x:v>
      </x:c>
      <x:c r="B14" s="6" t="str">
        <x:v>TP = detected event IDs, FN = missed event IDs, FP = unmatched predicted events. Event counts across yearly slices can overlap and need not sum to pooled counts.</x:v>
      </x:c>
    </x:row>
    <x:row r="15" ht="58" customHeight="1">
      <x:c r="A15" s="6" t="str">
        <x:v>Calibration versus assessment</x:v>
      </x:c>
      <x:c r="B15" s="6" t="str">
        <x:v>Calibration F0.5 chooses settings. Assessment F0.5 reports performance after freezing settings. Calibration-only results never substitute for assessment.</x:v>
      </x:c>
    </x:row>
    <x:row r="16" ht="58" customHeight="1">
      <x:c r="A16" s="6" t="str">
        <x:v>Research limits</x:v>
      </x:c>
      <x:c r="B16" s="6" t="str">
        <x:v>Repeatedly inspected development and benchmark periods are exploratory evidence, not a new untouched test. Retrospective reconstruction is not a demonstrated real-time operational detector.</x:v>
      </x:c>
    </x:row>
    <x:row r="17" ht="58" customHeight="1">
      <x:c r="A17" s="6" t="str">
        <x:v>Sources</x:v>
      </x:c>
      <x:c r="B17" s="6" t="str">
        <x:v>Result rows link to source IDs. Sources lists run/artifact identifiers and SHA-256 hashes. The workbook preserves reported metrics and does not retrain or alter historical predictions.</x:v>
      </x:c>
    </x:row>
    <x:row r="18" ht="58" customHeight="1">
      <x:c r="A18" s="6" t="str">
        <x:v>Next comparison</x:v>
      </x:c>
      <x:c r="B18" s="6" t="str">
        <x:v>Keep fixed real assessment folds and protocols. Finish planned seeds 43/44 before considering promotion. Any later full-period comparison needs the same 2000–2005 / 2006 / 2007–2013 split and a matched baseline.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57" hidden="0" customWidth="1"/>
    <x:col min="3" max="3" width="46" hidden="0" customWidth="1"/>
    <x:col min="4" max="4" width="57" hidden="0" customWidth="1"/>
    <x:col min="5" max="5" width="42" hidden="0" customWidth="1"/>
  </x:cols>
  <x:sheetData>
    <x:row r="1" ht="45" customHeight="1">
      <x:c r="A1" s="5" t="str">
        <x:v>Method</x:v>
      </x:c>
      <x:c r="B1" s="5" t="str">
        <x:v>What we changed</x:v>
      </x:c>
      <x:c r="C1" s="5" t="str">
        <x:v>Why</x:v>
      </x:c>
      <x:c r="D1" s="5" t="str">
        <x:v>What happened</x:v>
      </x:c>
      <x:c r="E1" s="5" t="str">
        <x:v>Available assessment</x:v>
      </x:c>
    </x:row>
    <x:row r="2" ht="70" customHeight="1">
      <x:c r="A2" s="6" t="str">
        <x:v>Transformer AE baseline</x:v>
      </x:c>
      <x:c r="B2" s="6" t="str">
        <x:v>Normal reconstruction plus synthetic-anomaly separation loss</x:v>
      </x:c>
      <x:c r="C2" s="6" t="str">
        <x:v>Learn normal patterns and make corruptions score higher</x:v>
      </x:c>
      <x:c r="D2" s="6" t="str">
        <x:v>Full-period system 0.8057 and local 0.8629</x:v>
      </x:c>
      <x:c r="E2" s="6" t="str">
        <x:v>2003–2005 development and 2007–2013 full period</x:v>
      </x:c>
    </x:row>
    <x:row r="3" ht="70" customHeight="1">
      <x:c r="A3" s="6" t="str">
        <x:v>Expanded inputs</x:v>
      </x:c>
      <x:c r="B3" s="6" t="str">
        <x:v>Added channels 14,21,29 to 40–47</x:v>
      </x:c>
      <x:c r="C3" s="6" t="str">
        <x:v>Capture additional event information</x:v>
      </x:c>
      <x:c r="D3" s="6" t="str">
        <x:v>Improved 2003, worsened 2004/2005</x:v>
      </x:c>
      <x:c r="E3" s="6" t="str">
        <x:v>2003–2005 development, 40 epochs</x:v>
      </x:c>
    </x:row>
    <x:row r="4" ht="70" customHeight="1">
      <x:c r="A4" s="6" t="str">
        <x:v>Reconstruction only</x:v>
      </x:c>
      <x:c r="B4" s="6" t="str">
        <x:v>Removed synthetic-anomaly separation penalty</x:v>
      </x:c>
      <x:c r="C4" s="6" t="str">
        <x:v>Test normal reconstruction by itself</x:v>
      </x:c>
      <x:c r="D4" s="6" t="str">
        <x:v>Low reconstruction loss did not guarantee high F0.5</x:v>
      </x:c>
      <x:c r="E4" s="6" t="str">
        <x:v>2003–2005 development, 40 epochs</x:v>
      </x:c>
    </x:row>
    <x:row r="5" ht="70" customHeight="1">
      <x:c r="A5" s="6" t="str">
        <x:v>Specialist</x:v>
      </x:c>
      <x:c r="B5" s="6" t="str">
        <x:v>Separate model on 14,21,29</x:v>
      </x:c>
      <x:c r="C5" s="6" t="str">
        <x:v>Complement the eight-channel baseline</x:v>
      </x:c>
      <x:c r="D5" s="6" t="str">
        <x:v>Inconsistent across periods</x:v>
      </x:c>
      <x:c r="E5" s="6" t="str">
        <x:v>2003–2005 development, 40 epochs</x:v>
      </x:c>
    </x:row>
    <x:row r="6" ht="70" customHeight="1">
      <x:c r="A6" s="6" t="str">
        <x:v>OR combination</x:v>
      </x:c>
      <x:c r="B6" s="6" t="str">
        <x:v>Baseline alarm OR optional specialist alarm, gated by calibration</x:v>
      </x:c>
      <x:c r="C6" s="6" t="str">
        <x:v>Catch events missed by either detector</x:v>
      </x:c>
      <x:c r="D6" s="6" t="str">
        <x:v>2003 false events increased1 to 6 without extra detections</x:v>
      </x:c>
      <x:c r="E6" s="6" t="str">
        <x:v>2003–2005 development</x:v>
      </x:c>
    </x:row>
    <x:row r="7" ht="70" customHeight="1">
      <x:c r="A7" s="6" t="str">
        <x:v>Masking</x:v>
      </x:c>
      <x:c r="B7" s="6" t="str">
        <x:v>Hide25% of temporal patches and reconstruct hidden targets</x:v>
      </x:c>
      <x:c r="C7" s="6" t="str">
        <x:v>Learn relationships instead of copying visible values</x:v>
      </x:c>
      <x:c r="D7" s="6" t="str">
        <x:v>Helped 2003, large false-alarm regression 2004</x:v>
      </x:c>
      <x:c r="E7" s="6" t="str">
        <x:v>2003–2005 development, 5 epochs</x:v>
      </x:c>
    </x:row>
    <x:row r="8" ht="70" customHeight="1">
      <x:c r="A8" s="6" t="str">
        <x:v>Masked overlap</x:v>
      </x:c>
      <x:c r="B8" s="6" t="str">
        <x:v>Score hidden targets using overlap aggregation</x:v>
      </x:c>
      <x:c r="C8" s="6" t="str">
        <x:v>Reduce score smearing from masked windows</x:v>
      </x:c>
      <x:c r="D8" s="6" t="str">
        <x:v>2004 system F0.5 .0904 to .0929, still poor</x:v>
      </x:c>
      <x:c r="E8" s="6" t="str">
        <x:v>2004 development, 5 epochs</x:v>
      </x:c>
    </x:row>
    <x:row r="9" ht="70" customHeight="1">
      <x:c r="A9" s="6" t="str">
        <x:v>Short coordinated generator</x:v>
      </x:c>
      <x:c r="B9" s="6" t="str">
        <x:v>50% legacy corruptions and 50% short30s–5min corruptions on 1–8 channels</x:v>
      </x:c>
      <x:c r="C9" s="6" t="str">
        <x:v>Represent short events affecting multiple channels</x:v>
      </x:c>
      <x:c r="D9" s="6" t="str">
        <x:v>Three-seed mean improved 2003/2005, worsened 2004</x:v>
      </x:c>
      <x:c r="E9" s="6" t="str">
        <x:v>2003–2005 development, seeds 42/43/44</x:v>
      </x:c>
    </x:row>
    <x:row r="10" ht="70" customHeight="1">
      <x:c r="A10" s="6" t="str">
        <x:v>Short generator without rolls</x:v>
      </x:c>
      <x:c r="B10" s="6" t="str">
        <x:v>Short branch uses offsets/noise only. Legacy branch keeps rolls</x:v>
      </x:c>
      <x:c r="C10" s="6" t="str">
        <x:v>Avoid almost unchanged short shifts receiving an abnormal target</x:v>
      </x:c>
      <x:c r="D10" s="6" t="str">
        <x:v>Seed42 improved 2003/2004, worsened 2005. Repeat pending</x:v>
      </x:c>
      <x:c r="E10" s="6" t="str">
        <x:v>2003–2005 development, seed 42</x:v>
      </x:c>
    </x:row>
    <x:row r="11" ht="70" customHeight="1">
      <x:c r="A11" s="6" t="str">
        <x:v>Observation-age context</x:v>
      </x:c>
      <x:c r="B11" s="6" t="str">
        <x:v>Add elapsed time since native observation and availability</x:v>
      </x:c>
      <x:c r="C11" s="6" t="str">
        <x:v>Distinguish fresh observations from held values</x:v>
      </x:c>
      <x:c r="D11" s="6" t="str">
        <x:v>Worse than matched zero-context control</x:v>
      </x:c>
      <x:c r="E11" s="6" t="str">
        <x:v>2007–2013, paired 5-epoch runs</x:v>
      </x:c>
    </x:row>
    <x:row r="12" ht="70" customHeight="1">
      <x:c r="A12" s="6" t="str">
        <x:v>Forecasting</x:v>
      </x:c>
      <x:c r="B12" s="6" t="str">
        <x:v>Predict future values with persistence, MLP or Transformer</x:v>
      </x:c>
      <x:c r="C12" s="6" t="str">
        <x:v>Explore causal error scoring</x:v>
      </x:c>
      <x:c r="D12" s="6" t="str">
        <x:v>Many false alarm events in 2003</x:v>
      </x:c>
      <x:c r="E12" s="6" t="str">
        <x:v>2003 development</x:v>
      </x:c>
    </x:row>
    <x:row r="13" ht="70" customHeight="1">
      <x:c r="A13" s="6" t="str">
        <x:v>Residual forecast</x:v>
      </x:c>
      <x:c r="B13" s="6" t="str">
        <x:v>Center context on last observation and predict deviations</x:v>
      </x:c>
      <x:c r="C13" s="6" t="str">
        <x:v>Simplify forecasting of stable levels</x:v>
      </x:c>
      <x:c r="D13" s="6" t="str">
        <x:v>System F0.5 .0706 in 2003</x:v>
      </x:c>
      <x:c r="E13" s="6" t="str">
        <x:v>2003 development</x:v>
      </x:c>
    </x:row>
    <x:row r="14" ht="70" customHeight="1">
      <x:c r="A14" s="6" t="str">
        <x:v>Alarm confirmation</x:v>
      </x:c>
      <x:c r="B14" s="6" t="str">
        <x:v>Require several threshold hits in a recent window</x:v>
      </x:c>
      <x:c r="C14" s="6" t="str">
        <x:v>Suppress isolated false alarms</x:v>
      </x:c>
      <x:c r="D14" s="6" t="str">
        <x:v>Fewer false events, sometimes fewer detections</x:v>
      </x:c>
      <x:c r="E14" s="6" t="str">
        <x:v>2003 development, reused forecasts</x:v>
      </x:c>
    </x:row>
    <x:row r="15" ht="70" customHeight="1">
      <x:c r="A15" s="6" t="str">
        <x:v>Dense grid + nominal cap</x:v>
      </x:c>
      <x:c r="B15" s="6" t="str">
        <x:v>Change calibration threshold candidates and nominal alarm constraint</x:v>
      </x:c>
      <x:c r="C15" s="6" t="str">
        <x:v>Control alarm burden with the same model</x:v>
      </x:c>
      <x:c r="D15" s="6" t="str">
        <x:v>2005 assessment fell despite better calibration</x:v>
      </x:c>
      <x:c r="E15" s="6" t="str">
        <x:v>2003–2005 development, reused AE scores</x:v>
      </x:c>
    </x:row>
    <x:row r="16" ht="70" customHeight="1">
      <x:c r="A16" s="6" t="str">
        <x:v>Channel error normalization</x:v>
      </x:c>
      <x:c r="B16" s="6" t="str">
        <x:v>Divide channel errors by training nominal q99 scales</x:v>
      </x:c>
      <x:c r="C16" s="6" t="str">
        <x:v>Prevent high-error channels dominating</x:v>
      </x:c>
      <x:c r="D16" s="6" t="str">
        <x:v>2006 calibration did not improve</x:v>
      </x:c>
      <x:c r="E16" s="6" t="str">
        <x:v>Calibration only, no candidate assessment</x:v>
      </x:c>
    </x:row>
    <x:row r="17" ht="70" customHeight="1">
      <x:c r="A17" s="6" t="str">
        <x:v>Per-timestep scoring</x:v>
      </x:c>
      <x:c r="B17" s="6" t="str">
        <x:v>Use timestep errors instead of whole-window mean</x:v>
      </x:c>
      <x:c r="C17" s="6" t="str">
        <x:v>Reduce temporal smearing</x:v>
      </x:c>
      <x:c r="D17" s="6" t="str">
        <x:v>Historical paired assessment lower than window mean</x:v>
      </x:c>
      <x:c r="E17" s="6" t="str">
        <x:v>Historical2007–2013 incl boundary</x:v>
      </x:c>
    </x:row>
    <x:row r="18" ht="70" customHeight="1">
      <x:c r="A18" s="6" t="str">
        <x:v>Historical channel selection</x:v>
      </x:c>
      <x:c r="B18" s="6" t="str">
        <x:v>Blocks, correlated groups, representatives and pseudo-anomaly variants</x:v>
      </x:c>
      <x:c r="C18" s="6" t="str">
        <x:v>Explore input subsets</x:v>
      </x:c>
      <x:c r="D18" s="6" t="str">
        <x:v>31 corrected runs retained separately</x:v>
      </x:c>
      <x:c r="E18" s="6" t="str">
        <x:v>Historical2007–2013 incl boundary</x:v>
      </x:c>
    </x:row>
  </x:sheetData>
  <x:pageMargins left="0.7" right="0.7" top="0.75" bottom="0.75" header="0.3" footer="0.3"/>
  <x:tableParts count="1">
    <x:tablePart xmlns:r="http://schemas.openxmlformats.org/officeDocument/2006/relationships" r:id="Rbe875d0e5f81461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36" hidden="0" customWidth="1"/>
    <x:col min="4" max="4" width="36" hidden="0" customWidth="1"/>
    <x:col min="5" max="5" width="19" hidden="0" customWidth="1"/>
    <x:col min="6" max="6" width="38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65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65" hidden="0" customWidth="1"/>
    <x:col min="35" max="35" width="65" hidden="0" customWidth="1"/>
    <x:col min="36" max="36" width="19" hidden="0" customWidth="1"/>
  </x:cols>
  <x:sheetData>
    <x:row r="1" ht="45" customHeight="1">
      <x:c r="A1" s="5" t="str">
        <x:v>Result ID</x:v>
      </x:c>
      <x:c r="B1" s="5" t="str">
        <x:v>Comparison group</x:v>
      </x:c>
      <x:c r="C1" s="5" t="str">
        <x:v>Method</x:v>
      </x:c>
      <x:c r="D1" s="5" t="str">
        <x:v>Run</x:v>
      </x:c>
      <x:c r="E1" s="5" t="str">
        <x:v>Seed</x:v>
      </x:c>
      <x:c r="F1" s="5" t="str">
        <x:v>Input channels</x:v>
      </x:c>
      <x:c r="G1" s="5" t="str">
        <x:v>Assessment period</x:v>
      </x:c>
      <x:c r="H1" s="5" t="str">
        <x:v>Event scope</x:v>
      </x:c>
      <x:c r="I1" s="5" t="str">
        <x:v>Calibration F0.5 (system)</x:v>
      </x:c>
      <x:c r="J1" s="5" t="str">
        <x:v>Assessment F0.5</x:v>
      </x:c>
      <x:c r="K1" s="5" t="str">
        <x:v>EW precision</x:v>
      </x:c>
      <x:c r="L1" s="5" t="str">
        <x:v>EW recall</x:v>
      </x:c>
      <x:c r="M1" s="5" t="str">
        <x:v>Detected events</x:v>
      </x:c>
      <x:c r="N1" s="5" t="str">
        <x:v>False alarm events</x:v>
      </x:c>
      <x:c r="O1" s="5" t="str">
        <x:v>Missed events</x:v>
      </x:c>
      <x:c r="P1" s="5" t="str">
        <x:v>True event IDs</x:v>
      </x:c>
      <x:c r="Q1" s="5" t="str">
        <x:v>Predicted intervals</x:v>
      </x:c>
      <x:c r="R1" s="5" t="str">
        <x:v>Selected epoch</x:v>
      </x:c>
      <x:c r="S1" s="5" t="str">
        <x:v>Epoch budget</x:v>
      </x:c>
      <x:c r="T1" s="5" t="str">
        <x:v>Window cap (0 = all)</x:v>
      </x:c>
      <x:c r="U1" s="5" t="str">
        <x:v>Train start</x:v>
      </x:c>
      <x:c r="V1" s="5" t="str">
        <x:v>Train end exclusive</x:v>
      </x:c>
      <x:c r="W1" s="5" t="str">
        <x:v>Calibration start</x:v>
      </x:c>
      <x:c r="X1" s="5" t="str">
        <x:v>Calibration end exclusive</x:v>
      </x:c>
      <x:c r="Y1" s="5" t="str">
        <x:v>Assessment start</x:v>
      </x:c>
      <x:c r="Z1" s="5" t="str">
        <x:v>Assessment end</x:v>
      </x:c>
      <x:c r="AA1" s="5" t="str">
        <x:v>Interval convention</x:v>
      </x:c>
      <x:c r="AB1" s="5" t="str">
        <x:v>Nominal false alarm seconds</x:v>
      </x:c>
      <x:c r="AC1" s="5" t="str">
        <x:v>Nominal seconds</x:v>
      </x:c>
      <x:c r="AD1" s="5" t="str">
        <x:v>Nominal false alarm fraction</x:v>
      </x:c>
      <x:c r="AE1" s="5" t="str">
        <x:v>False alarm events/day</x:v>
      </x:c>
      <x:c r="AF1" s="5" t="str">
        <x:v>Alarming precision</x:v>
      </x:c>
      <x:c r="AG1" s="5" t="str">
        <x:v>Metric version</x:v>
      </x:c>
      <x:c r="AH1" s="5" t="str">
        <x:v>Assessment data</x:v>
      </x:c>
      <x:c r="AI1" s="5" t="str">
        <x:v>Interpretation notes</x:v>
      </x:c>
      <x:c r="AJ1" s="5" t="str">
        <x:v>Source ID</x:v>
      </x:c>
    </x:row>
    <x:row r="2" ht="43" customHeight="1">
      <x:c r="A2" s="6" t="str">
        <x:v>R001</x:v>
      </x:c>
      <x:c r="B2" s="6" t="str">
        <x:v>Historical 40-epoch development</x:v>
      </x:c>
      <x:c r="C2" s="6" t="str">
        <x:v>Transformer AE + original augmentation</x:v>
      </x:c>
      <x:c r="D2" s="6" t="str">
        <x:v>ae_baseline_2003_seed42</x:v>
      </x:c>
      <x:c r="E2" s="6" t="n">
        <x:v>42</x:v>
      </x:c>
      <x:c r="F2" s="6" t="str">
        <x:v>40, 41, 42, 43, 44, 45, 46, 47</x:v>
      </x:c>
      <x:c r="G2" s="6" t="str">
        <x:v>2003 Apr–Dec</x:v>
      </x:c>
      <x:c r="H2" s="6" t="str">
        <x:v>system_all_channels</x:v>
      </x:c>
      <x:c r="I2" s="9" t="n">
        <x:v>0.7142410612656628</x:v>
      </x:c>
      <x:c r="J2" s="9" t="n">
        <x:v>0.8331698402429286</x:v>
      </x:c>
      <x:c r="K2" s="9" t="n">
        <x:v>0.8331289769935822</x:v>
      </x:c>
      <x:c r="L2" s="9" t="n">
        <x:v>0.8333333333333334</x:v>
      </x:c>
      <x:c r="M2" s="6" t="n">
        <x:v>5</x:v>
      </x:c>
      <x:c r="N2" s="6" t="n">
        <x:v>1</x:v>
      </x:c>
      <x:c r="O2" s="6" t="n">
        <x:v>1</x:v>
      </x:c>
      <x:c r="P2" s="6" t="n">
        <x:v>6</x:v>
      </x:c>
      <x:c r="Q2" s="6" t="n">
        <x:v>6</x:v>
      </x:c>
      <x:c r="R2" s="6" t="n">
        <x:v>25</x:v>
      </x:c>
      <x:c r="S2" s="6" t="n">
        <x:v>40</x:v>
      </x:c>
      <x:c r="T2" s="6" t="n">
        <x:v>250000</x:v>
      </x:c>
      <x:c r="U2" s="8" t="n">
        <x:v>36526</x:v>
      </x:c>
      <x:c r="V2" s="8" t="n">
        <x:v>37622</x:v>
      </x:c>
      <x:c r="W2" s="8" t="n">
        <x:v>37622</x:v>
      </x:c>
      <x:c r="X2" s="8" t="n">
        <x:v>37712</x:v>
      </x:c>
      <x:c r="Y2" s="8" t="n">
        <x:v>37712</x:v>
      </x:c>
      <x:c r="Z2" s="8" t="n">
        <x:v>37987</x:v>
      </x:c>
      <x:c r="AA2" s="6" t="str">
        <x:v>[start,end)</x:v>
      </x:c>
      <x:c r="AB2" s="10" t="n">
        <x:v>5390.412</x:v>
      </x:c>
      <x:c r="AC2" s="10" t="n">
        <x:v>21981260.799</x:v>
      </x:c>
      <x:c r="AD2" s="9" t="n">
        <x:v>0.0002452276077014037</x:v>
      </x:c>
      <x:c r="AE2" s="9" t="n">
        <x:v>0.0036363682277376613</x:v>
      </x:c>
      <x:c r="AF2" s="9" t="n">
        <x:v>0.8333333333333334</x:v>
      </x:c>
      <x:c r="AG2" s="6" t="str">
        <x:v>esa-ew-id-duration-v1</x:v>
      </x:c>
      <x:c r="AH2" s="6" t="str">
        <x:v>Real prepared telemetry + real annotations</x:v>
      </x:c>
      <x:c r="AI2" s="6" t="str">
        <x:v>Same assessment folds. Historical single-seed runs, not fully paired stochastic streams.</x:v>
      </x:c>
      <x:c r="AJ2" s="6" t="str">
        <x:v>S001</x:v>
      </x:c>
    </x:row>
    <x:row r="3" ht="43" customHeight="1">
      <x:c r="A3" s="6" t="str">
        <x:v>R002</x:v>
      </x:c>
      <x:c r="B3" s="6" t="str">
        <x:v>Historical 40-epoch development</x:v>
      </x:c>
      <x:c r="C3" s="6" t="str">
        <x:v>Transformer AE + original augmentation</x:v>
      </x:c>
      <x:c r="D3" s="6" t="str">
        <x:v>ae_baseline_remaining_seed42</x:v>
      </x:c>
      <x:c r="E3" s="6" t="n">
        <x:v>42</x:v>
      </x:c>
      <x:c r="F3" s="6" t="str">
        <x:v>40, 41, 42, 43, 44, 45, 46, 47</x:v>
      </x:c>
      <x:c r="G3" s="6" t="str">
        <x:v>2004 Apr–Dec</x:v>
      </x:c>
      <x:c r="H3" s="6" t="str">
        <x:v>system_all_channels</x:v>
      </x:c>
      <x:c r="I3" s="9" t="n">
        <x:v>0.38390663095893557</x:v>
      </x:c>
      <x:c r="J3" s="9" t="n">
        <x:v>0.42813074712147803</x:v>
      </x:c>
      <x:c r="K3" s="9" t="n">
        <x:v>0.39952022908688667</x:v>
      </x:c>
      <x:c r="L3" s="9" t="n">
        <x:v>0.6</x:v>
      </x:c>
      <x:c r="M3" s="6" t="n">
        <x:v>6</x:v>
      </x:c>
      <x:c r="N3" s="6" t="n">
        <x:v>9</x:v>
      </x:c>
      <x:c r="O3" s="6" t="n">
        <x:v>4</x:v>
      </x:c>
      <x:c r="P3" s="6" t="n">
        <x:v>10</x:v>
      </x:c>
      <x:c r="Q3" s="6" t="n">
        <x:v>15</x:v>
      </x:c>
      <x:c r="R3" s="6" t="n">
        <x:v>35</x:v>
      </x:c>
      <x:c r="S3" s="6" t="n">
        <x:v>40</x:v>
      </x:c>
      <x:c r="T3" s="6" t="n">
        <x:v>250000</x:v>
      </x:c>
      <x:c r="U3" s="8" t="n">
        <x:v>36526</x:v>
      </x:c>
      <x:c r="V3" s="8" t="n">
        <x:v>37987</x:v>
      </x:c>
      <x:c r="W3" s="8" t="n">
        <x:v>37987</x:v>
      </x:c>
      <x:c r="X3" s="8" t="n">
        <x:v>38078</x:v>
      </x:c>
      <x:c r="Y3" s="8" t="n">
        <x:v>38078</x:v>
      </x:c>
      <x:c r="Z3" s="8" t="n">
        <x:v>38353</x:v>
      </x:c>
      <x:c r="AA3" s="6" t="str">
        <x:v>[start,end)</x:v>
      </x:c>
      <x:c r="AB3" s="10" t="n">
        <x:v>25735.161</x:v>
      </x:c>
      <x:c r="AC3" s="10" t="n">
        <x:v>21456207.783</x:v>
      </x:c>
      <x:c r="AD3" s="9" t="n">
        <x:v>0.0011994272827834385</x:v>
      </x:c>
      <x:c r="AE3" s="9" t="n">
        <x:v>0.03272731404963895</x:v>
      </x:c>
      <x:c r="AF3" s="9" t="n">
        <x:v>0.8571428571428571</x:v>
      </x:c>
      <x:c r="AG3" s="6" t="str">
        <x:v>esa-ew-id-duration-v1</x:v>
      </x:c>
      <x:c r="AH3" s="6" t="str">
        <x:v>Real prepared telemetry + real annotations</x:v>
      </x:c>
      <x:c r="AI3" s="6" t="str">
        <x:v>Same assessment folds. Historical single-seed runs, not fully paired stochastic streams.</x:v>
      </x:c>
      <x:c r="AJ3" s="6" t="str">
        <x:v>S004</x:v>
      </x:c>
    </x:row>
    <x:row r="4" ht="43" customHeight="1">
      <x:c r="A4" s="6" t="str">
        <x:v>R003</x:v>
      </x:c>
      <x:c r="B4" s="6" t="str">
        <x:v>Historical 40-epoch development</x:v>
      </x:c>
      <x:c r="C4" s="6" t="str">
        <x:v>Transformer AE + original augmentation</x:v>
      </x:c>
      <x:c r="D4" s="6" t="str">
        <x:v>ae_baseline_remaining_seed42</x:v>
      </x:c>
      <x:c r="E4" s="6" t="n">
        <x:v>42</x:v>
      </x:c>
      <x:c r="F4" s="6" t="str">
        <x:v>40, 41, 42, 43, 44, 45, 46, 47</x:v>
      </x:c>
      <x:c r="G4" s="6" t="str">
        <x:v>2005 Apr–Dec</x:v>
      </x:c>
      <x:c r="H4" s="6" t="str">
        <x:v>system_all_channels</x:v>
      </x:c>
      <x:c r="I4" s="9" t="n">
        <x:v>0.8328804736937059</x:v>
      </x:c>
      <x:c r="J4" s="9" t="n">
        <x:v>0.8690551788198424</x:v>
      </x:c>
      <x:c r="K4" s="9" t="n">
        <x:v>0.9991570587963547</x:v>
      </x:c>
      <x:c r="L4" s="9" t="n">
        <x:v>0.5714285714285714</x:v>
      </x:c>
      <x:c r="M4" s="6" t="n">
        <x:v>4</x:v>
      </x:c>
      <x:c r="N4" s="6" t="n">
        <x:v>0</x:v>
      </x:c>
      <x:c r="O4" s="6" t="n">
        <x:v>3</x:v>
      </x:c>
      <x:c r="P4" s="6" t="n">
        <x:v>7</x:v>
      </x:c>
      <x:c r="Q4" s="6" t="n">
        <x:v>4</x:v>
      </x:c>
      <x:c r="R4" s="6" t="n">
        <x:v>5</x:v>
      </x:c>
      <x:c r="S4" s="6" t="n">
        <x:v>40</x:v>
      </x:c>
      <x:c r="T4" s="6" t="n">
        <x:v>250000</x:v>
      </x:c>
      <x:c r="U4" s="8" t="n">
        <x:v>36526</x:v>
      </x:c>
      <x:c r="V4" s="8" t="n">
        <x:v>38353</x:v>
      </x:c>
      <x:c r="W4" s="8" t="n">
        <x:v>38353</x:v>
      </x:c>
      <x:c r="X4" s="8" t="n">
        <x:v>38443</x:v>
      </x:c>
      <x:c r="Y4" s="8" t="n">
        <x:v>38443</x:v>
      </x:c>
      <x:c r="Z4" s="8" t="n">
        <x:v>38718</x:v>
      </x:c>
      <x:c r="AA4" s="6" t="str">
        <x:v>[start,end)</x:v>
      </x:c>
      <x:c r="AB4" s="10" t="n">
        <x:v>16184.184</x:v>
      </x:c>
      <x:c r="AC4" s="10" t="n">
        <x:v>19199659.395</x:v>
      </x:c>
      <x:c r="AD4" s="9" t="n">
        <x:v>0.0008429412036452533</x:v>
      </x:c>
      <x:c r="AE4" s="9" t="n">
        <x:v>0</x:v>
      </x:c>
      <x:c r="AF4" s="9" t="n">
        <x:v>1</x:v>
      </x:c>
      <x:c r="AG4" s="6" t="str">
        <x:v>esa-ew-id-duration-v1</x:v>
      </x:c>
      <x:c r="AH4" s="6" t="str">
        <x:v>Real prepared telemetry + real annotations</x:v>
      </x:c>
      <x:c r="AI4" s="6" t="str">
        <x:v>Same assessment folds. Historical single-seed runs, not fully paired stochastic streams.</x:v>
      </x:c>
      <x:c r="AJ4" s="6" t="str">
        <x:v>S004</x:v>
      </x:c>
    </x:row>
    <x:row r="5" ht="43" customHeight="1">
      <x:c r="A5" s="6" t="str">
        <x:v>R004</x:v>
      </x:c>
      <x:c r="B5" s="6" t="str">
        <x:v>Historical 40-epoch development</x:v>
      </x:c>
      <x:c r="C5" s="6" t="str">
        <x:v>Expanded inputs</x:v>
      </x:c>
      <x:c r="D5" s="6" t="str">
        <x:v>ae_expanded_seed42</x:v>
      </x:c>
      <x:c r="E5" s="6" t="n">
        <x:v>42</x:v>
      </x:c>
      <x:c r="F5" s="6" t="str">
        <x:v>40, 41, 42, 43, 44, 45, 46, 47, 14, 21, 29</x:v>
      </x:c>
      <x:c r="G5" s="6" t="str">
        <x:v>2003 Apr–Dec</x:v>
      </x:c>
      <x:c r="H5" s="6" t="str">
        <x:v>system_all_channels</x:v>
      </x:c>
      <x:c r="I5" s="9" t="n">
        <x:v>0.9996123048611332</x:v>
      </x:c>
      <x:c r="J5" s="9" t="n">
        <x:v>0.9090688662832848</x:v>
      </x:c>
      <x:c r="K5" s="9" t="n">
        <x:v>0.9999666605566122</x:v>
      </x:c>
      <x:c r="L5" s="9" t="n">
        <x:v>0.6666666666666666</x:v>
      </x:c>
      <x:c r="M5" s="6" t="n">
        <x:v>4</x:v>
      </x:c>
      <x:c r="N5" s="6" t="n">
        <x:v>0</x:v>
      </x:c>
      <x:c r="O5" s="6" t="n">
        <x:v>2</x:v>
      </x:c>
      <x:c r="P5" s="6" t="n">
        <x:v>6</x:v>
      </x:c>
      <x:c r="Q5" s="6" t="n">
        <x:v>5</x:v>
      </x:c>
      <x:c r="R5" s="6" t="n">
        <x:v>40</x:v>
      </x:c>
      <x:c r="S5" s="6" t="n">
        <x:v>40</x:v>
      </x:c>
      <x:c r="T5" s="6" t="n">
        <x:v>250000</x:v>
      </x:c>
      <x:c r="U5" s="8" t="n">
        <x:v>36526</x:v>
      </x:c>
      <x:c r="V5" s="8" t="n">
        <x:v>37622</x:v>
      </x:c>
      <x:c r="W5" s="8" t="n">
        <x:v>37622</x:v>
      </x:c>
      <x:c r="X5" s="8" t="n">
        <x:v>37712</x:v>
      </x:c>
      <x:c r="Y5" s="8" t="n">
        <x:v>37712</x:v>
      </x:c>
      <x:c r="Z5" s="8" t="n">
        <x:v>37987</x:v>
      </x:c>
      <x:c r="AA5" s="6" t="str">
        <x:v>[start,end)</x:v>
      </x:c>
      <x:c r="AB5" s="10" t="n">
        <x:v>732.843</x:v>
      </x:c>
      <x:c r="AC5" s="10" t="n">
        <x:v>21981260.799</x:v>
      </x:c>
      <x:c r="AD5" s="9" t="n">
        <x:v>0.000033339443387792045</x:v>
      </x:c>
      <x:c r="AE5" s="9" t="n">
        <x:v>0</x:v>
      </x:c>
      <x:c r="AF5" s="9" t="n">
        <x:v>0.8</x:v>
      </x:c>
      <x:c r="AG5" s="6" t="str">
        <x:v>esa-ew-id-duration-v1</x:v>
      </x:c>
      <x:c r="AH5" s="6" t="str">
        <x:v>Real prepared telemetry + real annotations</x:v>
      </x:c>
      <x:c r="AI5" s="6" t="str">
        <x:v>Same assessment folds. Historical single-seed runs, not fully paired stochastic streams.</x:v>
      </x:c>
      <x:c r="AJ5" s="6" t="str">
        <x:v>S008</x:v>
      </x:c>
    </x:row>
    <x:row r="6" ht="43" customHeight="1">
      <x:c r="A6" s="6" t="str">
        <x:v>R005</x:v>
      </x:c>
      <x:c r="B6" s="6" t="str">
        <x:v>Historical 40-epoch development</x:v>
      </x:c>
      <x:c r="C6" s="6" t="str">
        <x:v>Expanded inputs</x:v>
      </x:c>
      <x:c r="D6" s="6" t="str">
        <x:v>ae_expanded_seed42</x:v>
      </x:c>
      <x:c r="E6" s="6" t="n">
        <x:v>42</x:v>
      </x:c>
      <x:c r="F6" s="6" t="str">
        <x:v>40, 41, 42, 43, 44, 45, 46, 47, 14, 21, 29</x:v>
      </x:c>
      <x:c r="G6" s="6" t="str">
        <x:v>2004 Apr–Dec</x:v>
      </x:c>
      <x:c r="H6" s="6" t="str">
        <x:v>system_all_channels</x:v>
      </x:c>
      <x:c r="I6" s="9" t="n">
        <x:v>0.1508307763116554</x:v>
      </x:c>
      <x:c r="J6" s="9" t="n">
        <x:v>0.25136502860024185</x:v>
      </x:c>
      <x:c r="K6" s="9" t="n">
        <x:v>0.21298937401128087</x:v>
      </x:c>
      <x:c r="L6" s="9" t="n">
        <x:v>0.9</x:v>
      </x:c>
      <x:c r="M6" s="6" t="n">
        <x:v>9</x:v>
      </x:c>
      <x:c r="N6" s="6" t="n">
        <x:v>33</x:v>
      </x:c>
      <x:c r="O6" s="6" t="n">
        <x:v>1</x:v>
      </x:c>
      <x:c r="P6" s="6" t="n">
        <x:v>10</x:v>
      </x:c>
      <x:c r="Q6" s="6" t="n">
        <x:v>46</x:v>
      </x:c>
      <x:c r="R6" s="6" t="n">
        <x:v>40</x:v>
      </x:c>
      <x:c r="S6" s="6" t="n">
        <x:v>40</x:v>
      </x:c>
      <x:c r="T6" s="6" t="n">
        <x:v>250000</x:v>
      </x:c>
      <x:c r="U6" s="8" t="n">
        <x:v>36526</x:v>
      </x:c>
      <x:c r="V6" s="8" t="n">
        <x:v>37987</x:v>
      </x:c>
      <x:c r="W6" s="8" t="n">
        <x:v>37987</x:v>
      </x:c>
      <x:c r="X6" s="8" t="n">
        <x:v>38078</x:v>
      </x:c>
      <x:c r="Y6" s="8" t="n">
        <x:v>38078</x:v>
      </x:c>
      <x:c r="Z6" s="8" t="n">
        <x:v>38353</x:v>
      </x:c>
      <x:c r="AA6" s="6" t="str">
        <x:v>[start,end)</x:v>
      </x:c>
      <x:c r="AB6" s="10" t="n">
        <x:v>129801.216</x:v>
      </x:c>
      <x:c r="AC6" s="10" t="n">
        <x:v>21456207.783</x:v>
      </x:c>
      <x:c r="AD6" s="9" t="n">
        <x:v>0.006049587947355883</x:v>
      </x:c>
      <x:c r="AE6" s="9" t="n">
        <x:v>0.12000015151534282</x:v>
      </x:c>
      <x:c r="AF6" s="9" t="n">
        <x:v>0.6428571428571429</x:v>
      </x:c>
      <x:c r="AG6" s="6" t="str">
        <x:v>esa-ew-id-duration-v1</x:v>
      </x:c>
      <x:c r="AH6" s="6" t="str">
        <x:v>Real prepared telemetry + real annotations</x:v>
      </x:c>
      <x:c r="AI6" s="6" t="str">
        <x:v>Same assessment folds. Historical single-seed runs, not fully paired stochastic streams.</x:v>
      </x:c>
      <x:c r="AJ6" s="6" t="str">
        <x:v>S008</x:v>
      </x:c>
    </x:row>
    <x:row r="7" ht="43" customHeight="1">
      <x:c r="A7" s="6" t="str">
        <x:v>R006</x:v>
      </x:c>
      <x:c r="B7" s="6" t="str">
        <x:v>Historical 40-epoch development</x:v>
      </x:c>
      <x:c r="C7" s="6" t="str">
        <x:v>Expanded inputs</x:v>
      </x:c>
      <x:c r="D7" s="6" t="str">
        <x:v>ae_expanded_seed42</x:v>
      </x:c>
      <x:c r="E7" s="6" t="n">
        <x:v>42</x:v>
      </x:c>
      <x:c r="F7" s="6" t="str">
        <x:v>40, 41, 42, 43, 44, 45, 46, 47, 14, 21, 29</x:v>
      </x:c>
      <x:c r="G7" s="6" t="str">
        <x:v>2005 Apr–Dec</x:v>
      </x:c>
      <x:c r="H7" s="6" t="str">
        <x:v>system_all_channels</x:v>
      </x:c>
      <x:c r="I7" s="9" t="n">
        <x:v>0.8328804736937059</x:v>
      </x:c>
      <x:c r="J7" s="9" t="n">
        <x:v>0.1482451976814055</x:v>
      </x:c>
      <x:c r="K7" s="9" t="n">
        <x:v>0.12373211172661014</x:v>
      </x:c>
      <x:c r="L7" s="9" t="n">
        <x:v>0.7142857142857143</x:v>
      </x:c>
      <x:c r="M7" s="6" t="n">
        <x:v>5</x:v>
      </x:c>
      <x:c r="N7" s="6" t="n">
        <x:v>35</x:v>
      </x:c>
      <x:c r="O7" s="6" t="n">
        <x:v>2</x:v>
      </x:c>
      <x:c r="P7" s="6" t="n">
        <x:v>7</x:v>
      </x:c>
      <x:c r="Q7" s="6" t="n">
        <x:v>64</x:v>
      </x:c>
      <x:c r="R7" s="6" t="n">
        <x:v>5</x:v>
      </x:c>
      <x:c r="S7" s="6" t="n">
        <x:v>40</x:v>
      </x:c>
      <x:c r="T7" s="6" t="n">
        <x:v>250000</x:v>
      </x:c>
      <x:c r="U7" s="8" t="n">
        <x:v>36526</x:v>
      </x:c>
      <x:c r="V7" s="8" t="n">
        <x:v>38353</x:v>
      </x:c>
      <x:c r="W7" s="8" t="n">
        <x:v>38353</x:v>
      </x:c>
      <x:c r="X7" s="8" t="n">
        <x:v>38443</x:v>
      </x:c>
      <x:c r="Y7" s="8" t="n">
        <x:v>38443</x:v>
      </x:c>
      <x:c r="Z7" s="8" t="n">
        <x:v>38718</x:v>
      </x:c>
      <x:c r="AA7" s="6" t="str">
        <x:v>[start,end)</x:v>
      </x:c>
      <x:c r="AB7" s="10" t="n">
        <x:v>194744.184</x:v>
      </x:c>
      <x:c r="AC7" s="10" t="n">
        <x:v>19199659.395</x:v>
      </x:c>
      <x:c r="AD7" s="9" t="n">
        <x:v>0.010143106187118889</x:v>
      </x:c>
      <x:c r="AE7" s="9" t="n">
        <x:v>0.12727288797081815</x:v>
      </x:c>
      <x:c r="AF7" s="9" t="n">
        <x:v>0.1724137931034483</x:v>
      </x:c>
      <x:c r="AG7" s="6" t="str">
        <x:v>esa-ew-id-duration-v1</x:v>
      </x:c>
      <x:c r="AH7" s="6" t="str">
        <x:v>Real prepared telemetry + real annotations</x:v>
      </x:c>
      <x:c r="AI7" s="6" t="str">
        <x:v>Same assessment folds. Historical single-seed runs, not fully paired stochastic streams.</x:v>
      </x:c>
      <x:c r="AJ7" s="6" t="str">
        <x:v>S008</x:v>
      </x:c>
    </x:row>
    <x:row r="8" ht="43" customHeight="1">
      <x:c r="A8" s="6" t="str">
        <x:v>R007</x:v>
      </x:c>
      <x:c r="B8" s="6" t="str">
        <x:v>Historical 40-epoch development</x:v>
      </x:c>
      <x:c r="C8" s="6" t="str">
        <x:v>Reconstruction only</x:v>
      </x:c>
      <x:c r="D8" s="6" t="str">
        <x:v>ae_reconstruction_seed42</x:v>
      </x:c>
      <x:c r="E8" s="6" t="n">
        <x:v>42</x:v>
      </x:c>
      <x:c r="F8" s="6" t="str">
        <x:v>40, 41, 42, 43, 44, 45, 46, 47</x:v>
      </x:c>
      <x:c r="G8" s="6" t="str">
        <x:v>2003 Apr–Dec</x:v>
      </x:c>
      <x:c r="H8" s="6" t="str">
        <x:v>system_all_channels</x:v>
      </x:c>
      <x:c r="I8" s="9" t="n">
        <x:v>0.4544056803783998</x:v>
      </x:c>
      <x:c r="J8" s="9" t="n">
        <x:v>0.5256914934869159</x:v>
      </x:c>
      <x:c r="K8" s="9" t="n">
        <x:v>0.4992958726916745</x:v>
      </x:c>
      <x:c r="L8" s="9" t="n">
        <x:v>0.6666666666666666</x:v>
      </x:c>
      <x:c r="M8" s="6" t="n">
        <x:v>4</x:v>
      </x:c>
      <x:c r="N8" s="6" t="n">
        <x:v>4</x:v>
      </x:c>
      <x:c r="O8" s="6" t="n">
        <x:v>2</x:v>
      </x:c>
      <x:c r="P8" s="6" t="n">
        <x:v>6</x:v>
      </x:c>
      <x:c r="Q8" s="6" t="n">
        <x:v>10</x:v>
      </x:c>
      <x:c r="R8" s="6" t="n">
        <x:v>5</x:v>
      </x:c>
      <x:c r="S8" s="6" t="n">
        <x:v>40</x:v>
      </x:c>
      <x:c r="T8" s="6" t="n">
        <x:v>250000</x:v>
      </x:c>
      <x:c r="U8" s="8" t="n">
        <x:v>36526</x:v>
      </x:c>
      <x:c r="V8" s="8" t="n">
        <x:v>37622</x:v>
      </x:c>
      <x:c r="W8" s="8" t="n">
        <x:v>37622</x:v>
      </x:c>
      <x:c r="X8" s="8" t="n">
        <x:v>37712</x:v>
      </x:c>
      <x:c r="Y8" s="8" t="n">
        <x:v>37712</x:v>
      </x:c>
      <x:c r="Z8" s="8" t="n">
        <x:v>37987</x:v>
      </x:c>
      <x:c r="AA8" s="6" t="str">
        <x:v>[start,end)</x:v>
      </x:c>
      <x:c r="AB8" s="10" t="n">
        <x:v>30955.212</x:v>
      </x:c>
      <x:c r="AC8" s="10" t="n">
        <x:v>21981260.799</x:v>
      </x:c>
      <x:c r="AD8" s="9" t="n">
        <x:v>0.0014082546166509502</x:v>
      </x:c>
      <x:c r="AE8" s="9" t="n">
        <x:v>0.014545472910950645</x:v>
      </x:c>
      <x:c r="AF8" s="9" t="n">
        <x:v>0.5714285714285714</x:v>
      </x:c>
      <x:c r="AG8" s="6" t="str">
        <x:v>esa-ew-id-duration-v1</x:v>
      </x:c>
      <x:c r="AH8" s="6" t="str">
        <x:v>Real prepared telemetry + real annotations</x:v>
      </x:c>
      <x:c r="AI8" s="6" t="str">
        <x:v>Same assessment folds. Historical single-seed runs, not fully paired stochastic streams.</x:v>
      </x:c>
      <x:c r="AJ8" s="6" t="str">
        <x:v>S013</x:v>
      </x:c>
    </x:row>
    <x:row r="9" ht="43" customHeight="1">
      <x:c r="A9" s="6" t="str">
        <x:v>R008</x:v>
      </x:c>
      <x:c r="B9" s="6" t="str">
        <x:v>Historical 40-epoch development</x:v>
      </x:c>
      <x:c r="C9" s="6" t="str">
        <x:v>Reconstruction only</x:v>
      </x:c>
      <x:c r="D9" s="6" t="str">
        <x:v>ae_reconstruction_seed42</x:v>
      </x:c>
      <x:c r="E9" s="6" t="n">
        <x:v>42</x:v>
      </x:c>
      <x:c r="F9" s="6" t="str">
        <x:v>40, 41, 42, 43, 44, 45, 46, 47</x:v>
      </x:c>
      <x:c r="G9" s="6" t="str">
        <x:v>2004 Apr–Dec</x:v>
      </x:c>
      <x:c r="H9" s="6" t="str">
        <x:v>system_all_channels</x:v>
      </x:c>
      <x:c r="I9" s="9" t="n">
        <x:v>0.12133369431177966</x:v>
      </x:c>
      <x:c r="J9" s="9" t="n">
        <x:v>0.1501837628866907</x:v>
      </x:c>
      <x:c r="K9" s="9" t="n">
        <x:v>0.12647869228689726</x:v>
      </x:c>
      <x:c r="L9" s="9" t="n">
        <x:v>0.6</x:v>
      </x:c>
      <x:c r="M9" s="6" t="n">
        <x:v>6</x:v>
      </x:c>
      <x:c r="N9" s="6" t="n">
        <x:v>41</x:v>
      </x:c>
      <x:c r="O9" s="6" t="n">
        <x:v>4</x:v>
      </x:c>
      <x:c r="P9" s="6" t="n">
        <x:v>10</x:v>
      </x:c>
      <x:c r="Q9" s="6" t="n">
        <x:v>48</x:v>
      </x:c>
      <x:c r="R9" s="6" t="n">
        <x:v>10</x:v>
      </x:c>
      <x:c r="S9" s="6" t="n">
        <x:v>40</x:v>
      </x:c>
      <x:c r="T9" s="6" t="n">
        <x:v>250000</x:v>
      </x:c>
      <x:c r="U9" s="8" t="n">
        <x:v>36526</x:v>
      </x:c>
      <x:c r="V9" s="8" t="n">
        <x:v>37987</x:v>
      </x:c>
      <x:c r="W9" s="8" t="n">
        <x:v>37987</x:v>
      </x:c>
      <x:c r="X9" s="8" t="n">
        <x:v>38078</x:v>
      </x:c>
      <x:c r="Y9" s="8" t="n">
        <x:v>38078</x:v>
      </x:c>
      <x:c r="Z9" s="8" t="n">
        <x:v>38353</x:v>
      </x:c>
      <x:c r="AA9" s="6" t="str">
        <x:v>[start,end)</x:v>
      </x:c>
      <x:c r="AB9" s="10" t="n">
        <x:v>198475.152</x:v>
      </x:c>
      <x:c r="AC9" s="10" t="n">
        <x:v>21456207.783</x:v>
      </x:c>
      <x:c r="AD9" s="9" t="n">
        <x:v>0.009250243752638054</x:v>
      </x:c>
      <x:c r="AE9" s="9" t="n">
        <x:v>0.1490910973372441</x:v>
      </x:c>
      <x:c r="AF9" s="9" t="n">
        <x:v>0.75</x:v>
      </x:c>
      <x:c r="AG9" s="6" t="str">
        <x:v>esa-ew-id-duration-v1</x:v>
      </x:c>
      <x:c r="AH9" s="6" t="str">
        <x:v>Real prepared telemetry + real annotations</x:v>
      </x:c>
      <x:c r="AI9" s="6" t="str">
        <x:v>Same assessment folds. Historical single-seed runs, not fully paired stochastic streams.</x:v>
      </x:c>
      <x:c r="AJ9" s="6" t="str">
        <x:v>S013</x:v>
      </x:c>
    </x:row>
    <x:row r="10" ht="43" customHeight="1">
      <x:c r="A10" s="6" t="str">
        <x:v>R009</x:v>
      </x:c>
      <x:c r="B10" s="6" t="str">
        <x:v>Historical 40-epoch development</x:v>
      </x:c>
      <x:c r="C10" s="6" t="str">
        <x:v>Reconstruction only</x:v>
      </x:c>
      <x:c r="D10" s="6" t="str">
        <x:v>ae_reconstruction_seed42</x:v>
      </x:c>
      <x:c r="E10" s="6" t="n">
        <x:v>42</x:v>
      </x:c>
      <x:c r="F10" s="6" t="str">
        <x:v>40, 41, 42, 43, 44, 45, 46, 47</x:v>
      </x:c>
      <x:c r="G10" s="6" t="str">
        <x:v>2005 Apr–Dec</x:v>
      </x:c>
      <x:c r="H10" s="6" t="str">
        <x:v>system_all_channels</x:v>
      </x:c>
      <x:c r="I10" s="9" t="n">
        <x:v>0.8327321327658244</x:v>
      </x:c>
      <x:c r="J10" s="9" t="n">
        <x:v>0.8689341242155341</x:v>
      </x:c>
      <x:c r="K10" s="9" t="n">
        <x:v>0.998957055248323</x:v>
      </x:c>
      <x:c r="L10" s="9" t="n">
        <x:v>0.5714285714285714</x:v>
      </x:c>
      <x:c r="M10" s="6" t="n">
        <x:v>4</x:v>
      </x:c>
      <x:c r="N10" s="6" t="n">
        <x:v>0</x:v>
      </x:c>
      <x:c r="O10" s="6" t="n">
        <x:v>3</x:v>
      </x:c>
      <x:c r="P10" s="6" t="n">
        <x:v>7</x:v>
      </x:c>
      <x:c r="Q10" s="6" t="n">
        <x:v>4</x:v>
      </x:c>
      <x:c r="R10" s="6" t="n">
        <x:v>5</x:v>
      </x:c>
      <x:c r="S10" s="6" t="n">
        <x:v>40</x:v>
      </x:c>
      <x:c r="T10" s="6" t="n">
        <x:v>250000</x:v>
      </x:c>
      <x:c r="U10" s="8" t="n">
        <x:v>36526</x:v>
      </x:c>
      <x:c r="V10" s="8" t="n">
        <x:v>38353</x:v>
      </x:c>
      <x:c r="W10" s="8" t="n">
        <x:v>38353</x:v>
      </x:c>
      <x:c r="X10" s="8" t="n">
        <x:v>38443</x:v>
      </x:c>
      <x:c r="Y10" s="8" t="n">
        <x:v>38443</x:v>
      </x:c>
      <x:c r="Z10" s="8" t="n">
        <x:v>38718</x:v>
      </x:c>
      <x:c r="AA10" s="6" t="str">
        <x:v>[start,end)</x:v>
      </x:c>
      <x:c r="AB10" s="10" t="n">
        <x:v>20024.184</x:v>
      </x:c>
      <x:c r="AC10" s="10" t="n">
        <x:v>19199659.395</x:v>
      </x:c>
      <x:c r="AD10" s="9" t="n">
        <x:v>0.0010429447516769885</x:v>
      </x:c>
      <x:c r="AE10" s="9" t="n">
        <x:v>0</x:v>
      </x:c>
      <x:c r="AF10" s="9" t="n">
        <x:v>1</x:v>
      </x:c>
      <x:c r="AG10" s="6" t="str">
        <x:v>esa-ew-id-duration-v1</x:v>
      </x:c>
      <x:c r="AH10" s="6" t="str">
        <x:v>Real prepared telemetry + real annotations</x:v>
      </x:c>
      <x:c r="AI10" s="6" t="str">
        <x:v>Same assessment folds. Historical single-seed runs, not fully paired stochastic streams.</x:v>
      </x:c>
      <x:c r="AJ10" s="6" t="str">
        <x:v>S013</x:v>
      </x:c>
    </x:row>
    <x:row r="11" ht="43" customHeight="1">
      <x:c r="A11" s="6" t="str">
        <x:v>R010</x:v>
      </x:c>
      <x:c r="B11" s="6" t="str">
        <x:v>Historical 40-epoch development</x:v>
      </x:c>
      <x:c r="C11" s="6" t="str">
        <x:v>Specialist 14,21,29</x:v>
      </x:c>
      <x:c r="D11" s="6" t="str">
        <x:v>ae_specialist_seed42_verified</x:v>
      </x:c>
      <x:c r="E11" s="6" t="n">
        <x:v>42</x:v>
      </x:c>
      <x:c r="F11" s="6" t="str">
        <x:v>14, 21, 29</x:v>
      </x:c>
      <x:c r="G11" s="6" t="str">
        <x:v>2003 Apr–Dec</x:v>
      </x:c>
      <x:c r="H11" s="6" t="str">
        <x:v>system_all_channels</x:v>
      </x:c>
      <x:c r="I11" s="9" t="n">
        <x:v>0.9996123048611332</x:v>
      </x:c>
      <x:c r="J11" s="9" t="n">
        <x:v>0.16658880216667565</x:v>
      </x:c>
      <x:c r="K11" s="9" t="n">
        <x:v>0.166569347408251</x:v>
      </x:c>
      <x:c r="L11" s="9" t="n">
        <x:v>0.16666666666666666</x:v>
      </x:c>
      <x:c r="M11" s="6" t="n">
        <x:v>1</x:v>
      </x:c>
      <x:c r="N11" s="6" t="n">
        <x:v>5</x:v>
      </x:c>
      <x:c r="O11" s="6" t="n">
        <x:v>5</x:v>
      </x:c>
      <x:c r="P11" s="6" t="n">
        <x:v>6</x:v>
      </x:c>
      <x:c r="Q11" s="6" t="n">
        <x:v>6</x:v>
      </x:c>
      <x:c r="R11" s="6" t="n">
        <x:v>10</x:v>
      </x:c>
      <x:c r="S11" s="6" t="n">
        <x:v>40</x:v>
      </x:c>
      <x:c r="T11" s="6" t="n">
        <x:v>250000</x:v>
      </x:c>
      <x:c r="U11" s="8" t="n">
        <x:v>36526</x:v>
      </x:c>
      <x:c r="V11" s="8" t="n">
        <x:v>37622</x:v>
      </x:c>
      <x:c r="W11" s="8" t="n">
        <x:v>37622</x:v>
      </x:c>
      <x:c r="X11" s="8" t="n">
        <x:v>37712</x:v>
      </x:c>
      <x:c r="Y11" s="8" t="n">
        <x:v>37712</x:v>
      </x:c>
      <x:c r="Z11" s="8" t="n">
        <x:v>37987</x:v>
      </x:c>
      <x:c r="AA11" s="6" t="str">
        <x:v>[start,end)</x:v>
      </x:c>
      <x:c r="AB11" s="10" t="n">
        <x:v>12835.2</x:v>
      </x:c>
      <x:c r="AC11" s="10" t="n">
        <x:v>21981260.799</x:v>
      </x:c>
      <x:c r="AD11" s="9" t="n">
        <x:v>0.0005839155504939741</x:v>
      </x:c>
      <x:c r="AE11" s="9" t="n">
        <x:v>0.018181841138688305</x:v>
      </x:c>
      <x:c r="AF11" s="9" t="n">
        <x:v>1</x:v>
      </x:c>
      <x:c r="AG11" s="6" t="str">
        <x:v>esa-ew-id-duration-v1</x:v>
      </x:c>
      <x:c r="AH11" s="6" t="str">
        <x:v>Real prepared telemetry + real annotations</x:v>
      </x:c>
      <x:c r="AI11" s="6" t="str">
        <x:v>Same assessment folds. Historical single-seed runs, not fully paired stochastic streams.</x:v>
      </x:c>
      <x:c r="AJ11" s="6" t="str">
        <x:v>S018</x:v>
      </x:c>
    </x:row>
    <x:row r="12" ht="43" customHeight="1">
      <x:c r="A12" s="6" t="str">
        <x:v>R011</x:v>
      </x:c>
      <x:c r="B12" s="6" t="str">
        <x:v>Historical 40-epoch development</x:v>
      </x:c>
      <x:c r="C12" s="6" t="str">
        <x:v>Specialist 14,21,29</x:v>
      </x:c>
      <x:c r="D12" s="6" t="str">
        <x:v>ae_specialist_seed42_verified</x:v>
      </x:c>
      <x:c r="E12" s="6" t="n">
        <x:v>42</x:v>
      </x:c>
      <x:c r="F12" s="6" t="str">
        <x:v>14, 21, 29</x:v>
      </x:c>
      <x:c r="G12" s="6" t="str">
        <x:v>2004 Apr–Dec</x:v>
      </x:c>
      <x:c r="H12" s="6" t="str">
        <x:v>system_all_channels</x:v>
      </x:c>
      <x:c r="I12" s="9" t="n">
        <x:v>0</x:v>
      </x:c>
      <x:c r="J12" s="9" t="n">
        <x:v>0.7692211622038211</x:v>
      </x:c>
      <x:c r="K12" s="9" t="n">
        <x:v>0.9999797053139863</x:v>
      </x:c>
      <x:c r="L12" s="9" t="n">
        <x:v>0.4</x:v>
      </x:c>
      <x:c r="M12" s="6" t="n">
        <x:v>4</x:v>
      </x:c>
      <x:c r="N12" s="6" t="n">
        <x:v>0</x:v>
      </x:c>
      <x:c r="O12" s="6" t="n">
        <x:v>6</x:v>
      </x:c>
      <x:c r="P12" s="6" t="n">
        <x:v>10</x:v>
      </x:c>
      <x:c r="Q12" s="6" t="n">
        <x:v>4</x:v>
      </x:c>
      <x:c r="R12" s="6" t="n">
        <x:v>5</x:v>
      </x:c>
      <x:c r="S12" s="6" t="n">
        <x:v>40</x:v>
      </x:c>
      <x:c r="T12" s="6" t="n">
        <x:v>250000</x:v>
      </x:c>
      <x:c r="U12" s="8" t="n">
        <x:v>36526</x:v>
      </x:c>
      <x:c r="V12" s="8" t="n">
        <x:v>37987</x:v>
      </x:c>
      <x:c r="W12" s="8" t="n">
        <x:v>37987</x:v>
      </x:c>
      <x:c r="X12" s="8" t="n">
        <x:v>38078</x:v>
      </x:c>
      <x:c r="Y12" s="8" t="n">
        <x:v>38078</x:v>
      </x:c>
      <x:c r="Z12" s="8" t="n">
        <x:v>38353</x:v>
      </x:c>
      <x:c r="AA12" s="6" t="str">
        <x:v>[start,end)</x:v>
      </x:c>
      <x:c r="AB12" s="10" t="n">
        <x:v>435.447</x:v>
      </x:c>
      <x:c r="AC12" s="10" t="n">
        <x:v>21456207.783</x:v>
      </x:c>
      <x:c r="AD12" s="9" t="n">
        <x:v>0.000020294686013722085</x:v>
      </x:c>
      <x:c r="AE12" s="9" t="n">
        <x:v>0</x:v>
      </x:c>
      <x:c r="AF12" s="9" t="n">
        <x:v>1</x:v>
      </x:c>
      <x:c r="AG12" s="6" t="str">
        <x:v>esa-ew-id-duration-v1</x:v>
      </x:c>
      <x:c r="AH12" s="6" t="str">
        <x:v>Real prepared telemetry + real annotations</x:v>
      </x:c>
      <x:c r="AI12" s="6" t="str">
        <x:v>Same assessment folds. Historical single-seed runs, not fully paired stochastic streams.</x:v>
      </x:c>
      <x:c r="AJ12" s="6" t="str">
        <x:v>S018</x:v>
      </x:c>
    </x:row>
    <x:row r="13" ht="43" customHeight="1">
      <x:c r="A13" s="6" t="str">
        <x:v>R012</x:v>
      </x:c>
      <x:c r="B13" s="6" t="str">
        <x:v>Historical 40-epoch development</x:v>
      </x:c>
      <x:c r="C13" s="6" t="str">
        <x:v>Specialist 14,21,29</x:v>
      </x:c>
      <x:c r="D13" s="6" t="str">
        <x:v>ae_specialist_seed42_verified</x:v>
      </x:c>
      <x:c r="E13" s="6" t="n">
        <x:v>42</x:v>
      </x:c>
      <x:c r="F13" s="6" t="str">
        <x:v>14, 21, 29</x:v>
      </x:c>
      <x:c r="G13" s="6" t="str">
        <x:v>2005 Apr–Dec</x:v>
      </x:c>
      <x:c r="H13" s="6" t="str">
        <x:v>system_all_channels</x:v>
      </x:c>
      <x:c r="I13" s="9" t="n">
        <x:v>0.998858486175566</x:v>
      </x:c>
      <x:c r="J13" s="9" t="n">
        <x:v>0.7406413572534629</x:v>
      </x:c>
      <x:c r="K13" s="9" t="n">
        <x:v>0.7998551056795975</x:v>
      </x:c>
      <x:c r="L13" s="9" t="n">
        <x:v>0.5714285714285714</x:v>
      </x:c>
      <x:c r="M13" s="6" t="n">
        <x:v>4</x:v>
      </x:c>
      <x:c r="N13" s="6" t="n">
        <x:v>1</x:v>
      </x:c>
      <x:c r="O13" s="6" t="n">
        <x:v>3</x:v>
      </x:c>
      <x:c r="P13" s="6" t="n">
        <x:v>7</x:v>
      </x:c>
      <x:c r="Q13" s="6" t="n">
        <x:v>8</x:v>
      </x:c>
      <x:c r="R13" s="6" t="n">
        <x:v>25</x:v>
      </x:c>
      <x:c r="S13" s="6" t="n">
        <x:v>40</x:v>
      </x:c>
      <x:c r="T13" s="6" t="n">
        <x:v>250000</x:v>
      </x:c>
      <x:c r="U13" s="8" t="n">
        <x:v>36526</x:v>
      </x:c>
      <x:c r="V13" s="8" t="n">
        <x:v>38353</x:v>
      </x:c>
      <x:c r="W13" s="8" t="n">
        <x:v>38353</x:v>
      </x:c>
      <x:c r="X13" s="8" t="n">
        <x:v>38443</x:v>
      </x:c>
      <x:c r="Y13" s="8" t="n">
        <x:v>38443</x:v>
      </x:c>
      <x:c r="Z13" s="8" t="n">
        <x:v>38718</x:v>
      </x:c>
      <x:c r="AA13" s="6" t="str">
        <x:v>[start,end)</x:v>
      </x:c>
      <x:c r="AB13" s="10" t="n">
        <x:v>3477.402</x:v>
      </x:c>
      <x:c r="AC13" s="10" t="n">
        <x:v>19199659.395</x:v>
      </x:c>
      <x:c r="AD13" s="9" t="n">
        <x:v>0.00018111790050323595</x:v>
      </x:c>
      <x:c r="AE13" s="9" t="n">
        <x:v>0.0036363682277376613</x:v>
      </x:c>
      <x:c r="AF13" s="9" t="n">
        <x:v>0.5714285714285714</x:v>
      </x:c>
      <x:c r="AG13" s="6" t="str">
        <x:v>esa-ew-id-duration-v1</x:v>
      </x:c>
      <x:c r="AH13" s="6" t="str">
        <x:v>Real prepared telemetry + real annotations</x:v>
      </x:c>
      <x:c r="AI13" s="6" t="str">
        <x:v>Same assessment folds. Historical single-seed runs, not fully paired stochastic streams.</x:v>
      </x:c>
      <x:c r="AJ13" s="6" t="str">
        <x:v>S018</x:v>
      </x:c>
    </x:row>
    <x:row r="14" ht="43" customHeight="1">
      <x:c r="A14" s="6" t="str">
        <x:v>R013</x:v>
      </x:c>
      <x:c r="B14" s="6" t="str">
        <x:v>OR combination</x:v>
      </x:c>
      <x:c r="C14" s="6" t="str">
        <x:v>Baseline OR specialist</x:v>
      </x:c>
      <x:c r="D14" s="6" t="str">
        <x:v>combined_specialist_seed42</x:v>
      </x:c>
      <x:c r="E14" s="6" t="n">
        <x:v>42</x:v>
      </x:c>
      <x:c r="F14" s="6" t="str">
        <x:v>40–47 plus separate 14, 21, 29</x:v>
      </x:c>
      <x:c r="G14" s="6" t="str">
        <x:v>2003 Apr–Dec</x:v>
      </x:c>
      <x:c r="H14" s="6" t="str">
        <x:v>system_all_channels</x:v>
      </x:c>
      <x:c r="I14" s="9" t="n">
        <x:v>0.9995247701641664</x:v>
      </x:c>
      <x:c r="J14" s="9" t="n">
        <x:v>0.4996806919987219</x:v>
      </x:c>
      <x:c r="K14" s="9" t="n">
        <x:v>0.45421561963111434</x:v>
      </x:c>
      <x:c r="L14" s="9" t="n">
        <x:v>0.8333333333333334</x:v>
      </x:c>
      <x:c r="M14" s="6" t="n">
        <x:v>5</x:v>
      </x:c>
      <x:c r="N14" s="6" t="n">
        <x:v>6</x:v>
      </x:c>
      <x:c r="O14" s="6" t="n">
        <x:v>1</x:v>
      </x:c>
      <x:c r="P14" s="6" t="n">
        <x:v>6</x:v>
      </x:c>
      <x:c r="Q14" s="6" t="n">
        <x:v>11</x:v>
      </x:c>
      <x:c r="R14" s="6"/>
      <x:c r="S14" s="6" t="n">
        <x:v>40</x:v>
      </x:c>
      <x:c r="T14" s="6" t="n">
        <x:v>250000</x:v>
      </x:c>
      <x:c r="U14" s="8" t="n">
        <x:v>36526</x:v>
      </x:c>
      <x:c r="V14" s="8" t="n">
        <x:v>37622</x:v>
      </x:c>
      <x:c r="W14" s="8" t="n">
        <x:v>37622</x:v>
      </x:c>
      <x:c r="X14" s="8" t="n">
        <x:v>37712</x:v>
      </x:c>
      <x:c r="Y14" s="8" t="n">
        <x:v>37712</x:v>
      </x:c>
      <x:c r="Z14" s="8" t="n">
        <x:v>37987</x:v>
      </x:c>
      <x:c r="AA14" s="6" t="str">
        <x:v>[start,end)</x:v>
      </x:c>
      <x:c r="AB14" s="10" t="n">
        <x:v>15950.412</x:v>
      </x:c>
      <x:c r="AC14" s="10" t="n">
        <x:v>21981260.799</x:v>
      </x:c>
      <x:c r="AD14" s="9" t="n">
        <x:v>0.000725636811548358</x:v>
      </x:c>
      <x:c r="AE14" s="9" t="n">
        <x:v>0.021818209366425968</x:v>
      </x:c>
      <x:c r="AF14" s="9" t="n">
        <x:v>0.8333333333333334</x:v>
      </x:c>
      <x:c r="AG14" s="6" t="str">
        <x:v>esa-ew-id-duration-v1</x:v>
      </x:c>
      <x:c r="AH14" s="6" t="str">
        <x:v>Real prepared telemetry + real annotations</x:v>
      </x:c>
      <x:c r="AI14" s="6" t="str">
        <x:v>Reuses frozen component models. Optional specialist enabled by calibration only.</x:v>
      </x:c>
      <x:c r="AJ14" s="6" t="str">
        <x:v>S023</x:v>
      </x:c>
    </x:row>
    <x:row r="15" ht="43" customHeight="1">
      <x:c r="A15" s="6" t="str">
        <x:v>R014</x:v>
      </x:c>
      <x:c r="B15" s="6" t="str">
        <x:v>OR combination</x:v>
      </x:c>
      <x:c r="C15" s="6" t="str">
        <x:v>Baseline OR specialist</x:v>
      </x:c>
      <x:c r="D15" s="6" t="str">
        <x:v>combined_specialist_seed42</x:v>
      </x:c>
      <x:c r="E15" s="6" t="n">
        <x:v>42</x:v>
      </x:c>
      <x:c r="F15" s="6" t="str">
        <x:v>40–47 plus separate 14, 21, 29</x:v>
      </x:c>
      <x:c r="G15" s="6" t="str">
        <x:v>2004 Apr–Dec</x:v>
      </x:c>
      <x:c r="H15" s="6" t="str">
        <x:v>system_all_channels</x:v>
      </x:c>
      <x:c r="I15" s="9" t="n">
        <x:v>0.38390663095893557</x:v>
      </x:c>
      <x:c r="J15" s="9" t="n">
        <x:v>0.42813074712147803</x:v>
      </x:c>
      <x:c r="K15" s="9" t="n">
        <x:v>0.39952022908688667</x:v>
      </x:c>
      <x:c r="L15" s="9" t="n">
        <x:v>0.6</x:v>
      </x:c>
      <x:c r="M15" s="6" t="n">
        <x:v>6</x:v>
      </x:c>
      <x:c r="N15" s="6" t="n">
        <x:v>9</x:v>
      </x:c>
      <x:c r="O15" s="6" t="n">
        <x:v>4</x:v>
      </x:c>
      <x:c r="P15" s="6" t="n">
        <x:v>10</x:v>
      </x:c>
      <x:c r="Q15" s="6" t="n">
        <x:v>15</x:v>
      </x:c>
      <x:c r="R15" s="6"/>
      <x:c r="S15" s="6" t="n">
        <x:v>40</x:v>
      </x:c>
      <x:c r="T15" s="6" t="n">
        <x:v>250000</x:v>
      </x:c>
      <x:c r="U15" s="8" t="n">
        <x:v>36526</x:v>
      </x:c>
      <x:c r="V15" s="8" t="n">
        <x:v>37987</x:v>
      </x:c>
      <x:c r="W15" s="8" t="n">
        <x:v>37987</x:v>
      </x:c>
      <x:c r="X15" s="8" t="n">
        <x:v>38078</x:v>
      </x:c>
      <x:c r="Y15" s="8" t="n">
        <x:v>38078</x:v>
      </x:c>
      <x:c r="Z15" s="8" t="n">
        <x:v>38353</x:v>
      </x:c>
      <x:c r="AA15" s="6" t="str">
        <x:v>[start,end)</x:v>
      </x:c>
      <x:c r="AB15" s="10" t="n">
        <x:v>25735.161</x:v>
      </x:c>
      <x:c r="AC15" s="10" t="n">
        <x:v>21456207.783</x:v>
      </x:c>
      <x:c r="AD15" s="9" t="n">
        <x:v>0.0011994272827834385</x:v>
      </x:c>
      <x:c r="AE15" s="9" t="n">
        <x:v>0.03272731404963895</x:v>
      </x:c>
      <x:c r="AF15" s="9" t="n">
        <x:v>0.8571428571428571</x:v>
      </x:c>
      <x:c r="AG15" s="6" t="str">
        <x:v>esa-ew-id-duration-v1</x:v>
      </x:c>
      <x:c r="AH15" s="6" t="str">
        <x:v>Real prepared telemetry + real annotations</x:v>
      </x:c>
      <x:c r="AI15" s="6" t="str">
        <x:v>Reuses frozen component models. Optional specialist enabled by calibration only.</x:v>
      </x:c>
      <x:c r="AJ15" s="6" t="str">
        <x:v>S023</x:v>
      </x:c>
    </x:row>
    <x:row r="16" ht="43" customHeight="1">
      <x:c r="A16" s="6" t="str">
        <x:v>R015</x:v>
      </x:c>
      <x:c r="B16" s="6" t="str">
        <x:v>OR combination</x:v>
      </x:c>
      <x:c r="C16" s="6" t="str">
        <x:v>Baseline OR specialist</x:v>
      </x:c>
      <x:c r="D16" s="6" t="str">
        <x:v>combined_specialist_seed42</x:v>
      </x:c>
      <x:c r="E16" s="6" t="n">
        <x:v>42</x:v>
      </x:c>
      <x:c r="F16" s="6" t="str">
        <x:v>40–47 plus separate 14, 21, 29</x:v>
      </x:c>
      <x:c r="G16" s="6" t="str">
        <x:v>2005 Apr–Dec</x:v>
      </x:c>
      <x:c r="H16" s="6" t="str">
        <x:v>system_all_channels</x:v>
      </x:c>
      <x:c r="I16" s="9" t="n">
        <x:v>0.8328804736937059</x:v>
      </x:c>
      <x:c r="J16" s="9" t="n">
        <x:v>0.8690551788198424</x:v>
      </x:c>
      <x:c r="K16" s="9" t="n">
        <x:v>0.9991570587963547</x:v>
      </x:c>
      <x:c r="L16" s="9" t="n">
        <x:v>0.5714285714285714</x:v>
      </x:c>
      <x:c r="M16" s="6" t="n">
        <x:v>4</x:v>
      </x:c>
      <x:c r="N16" s="6" t="n">
        <x:v>0</x:v>
      </x:c>
      <x:c r="O16" s="6" t="n">
        <x:v>3</x:v>
      </x:c>
      <x:c r="P16" s="6" t="n">
        <x:v>7</x:v>
      </x:c>
      <x:c r="Q16" s="6" t="n">
        <x:v>4</x:v>
      </x:c>
      <x:c r="R16" s="6"/>
      <x:c r="S16" s="6" t="n">
        <x:v>40</x:v>
      </x:c>
      <x:c r="T16" s="6" t="n">
        <x:v>250000</x:v>
      </x:c>
      <x:c r="U16" s="8" t="n">
        <x:v>36526</x:v>
      </x:c>
      <x:c r="V16" s="8" t="n">
        <x:v>38353</x:v>
      </x:c>
      <x:c r="W16" s="8" t="n">
        <x:v>38353</x:v>
      </x:c>
      <x:c r="X16" s="8" t="n">
        <x:v>38443</x:v>
      </x:c>
      <x:c r="Y16" s="8" t="n">
        <x:v>38443</x:v>
      </x:c>
      <x:c r="Z16" s="8" t="n">
        <x:v>38718</x:v>
      </x:c>
      <x:c r="AA16" s="6" t="str">
        <x:v>[start,end)</x:v>
      </x:c>
      <x:c r="AB16" s="10" t="n">
        <x:v>16184.184</x:v>
      </x:c>
      <x:c r="AC16" s="10" t="n">
        <x:v>19199659.395</x:v>
      </x:c>
      <x:c r="AD16" s="9" t="n">
        <x:v>0.0008429412036452533</x:v>
      </x:c>
      <x:c r="AE16" s="9" t="n">
        <x:v>0</x:v>
      </x:c>
      <x:c r="AF16" s="9" t="n">
        <x:v>1</x:v>
      </x:c>
      <x:c r="AG16" s="6" t="str">
        <x:v>esa-ew-id-duration-v1</x:v>
      </x:c>
      <x:c r="AH16" s="6" t="str">
        <x:v>Real prepared telemetry + real annotations</x:v>
      </x:c>
      <x:c r="AI16" s="6" t="str">
        <x:v>Reuses frozen component models. Optional specialist enabled by calibration only.</x:v>
      </x:c>
      <x:c r="AJ16" s="6" t="str">
        <x:v>S023</x:v>
      </x:c>
    </x:row>
    <x:row r="17" ht="43" customHeight="1">
      <x:c r="A17" s="6" t="str">
        <x:v>R016</x:v>
      </x:c>
      <x:c r="B17" s="6" t="str">
        <x:v>Augmentation paired</x:v>
      </x:c>
      <x:c r="C17" s="6" t="str">
        <x:v>Original generator</x:v>
      </x:c>
      <x:c r="D17" s="6" t="str">
        <x:v>short_coordinated_seed42_v1</x:v>
      </x:c>
      <x:c r="E17" s="6" t="n">
        <x:v>42</x:v>
      </x:c>
      <x:c r="F17" s="6" t="str">
        <x:v>40, 41, 42, 43, 44, 45, 46, 47</x:v>
      </x:c>
      <x:c r="G17" s="6" t="str">
        <x:v>2003 Apr–Dec</x:v>
      </x:c>
      <x:c r="H17" s="6" t="str">
        <x:v>system_all_channels</x:v>
      </x:c>
      <x:c r="I17" s="9" t="n">
        <x:v>0.7142857142857143</x:v>
      </x:c>
      <x:c r="J17" s="9" t="n">
        <x:v>0.5</x:v>
      </x:c>
      <x:c r="K17" s="9" t="n">
        <x:v>1</x:v>
      </x:c>
      <x:c r="L17" s="9" t="n">
        <x:v>0.16666666666666666</x:v>
      </x:c>
      <x:c r="M17" s="6" t="n">
        <x:v>1</x:v>
      </x:c>
      <x:c r="N17" s="6" t="n">
        <x:v>0</x:v>
      </x:c>
      <x:c r="O17" s="6" t="n">
        <x:v>5</x:v>
      </x:c>
      <x:c r="P17" s="6" t="n">
        <x:v>6</x:v>
      </x:c>
      <x:c r="Q17" s="6" t="n">
        <x:v>1</x:v>
      </x:c>
      <x:c r="R17" s="6" t="n">
        <x:v>1</x:v>
      </x:c>
      <x:c r="S17" s="6" t="n">
        <x:v>5</x:v>
      </x:c>
      <x:c r="T17" s="6" t="n">
        <x:v>25000</x:v>
      </x:c>
      <x:c r="U17" s="8" t="n">
        <x:v>36526</x:v>
      </x:c>
      <x:c r="V17" s="8" t="n">
        <x:v>37622</x:v>
      </x:c>
      <x:c r="W17" s="8" t="n">
        <x:v>37622</x:v>
      </x:c>
      <x:c r="X17" s="8" t="n">
        <x:v>37712</x:v>
      </x:c>
      <x:c r="Y17" s="8" t="n">
        <x:v>37712</x:v>
      </x:c>
      <x:c r="Z17" s="8" t="n">
        <x:v>37987</x:v>
      </x:c>
      <x:c r="AA17" s="6" t="str">
        <x:v>[start,end)</x:v>
      </x:c>
      <x:c r="AB17" s="10" t="n">
        <x:v>0</x:v>
      </x:c>
      <x:c r="AC17" s="10" t="n">
        <x:v>21981260.799</x:v>
      </x:c>
      <x:c r="AD17" s="9" t="n">
        <x:v>0</x:v>
      </x:c>
      <x:c r="AE17" s="9" t="n">
        <x:v>0</x:v>
      </x:c>
      <x:c r="AF17" s="9" t="n">
        <x:v>1</x:v>
      </x:c>
      <x:c r="AG17" s="6" t="str">
        <x:v>esa-ew-id-duration-v1</x:v>
      </x:c>
      <x:c r="AH17" s="6" t="str">
        <x:v>Real prepared telemetry + real annotations</x:v>
      </x:c>
      <x:c r="AI17" s="6" t="str">
        <x:v>Matched 5 epochs / 25,000 windows. Previously inspected development periods.</x:v>
      </x:c>
      <x:c r="AJ17" s="6" t="str">
        <x:v>S025</x:v>
      </x:c>
    </x:row>
    <x:row r="18" ht="43" customHeight="1">
      <x:c r="A18" s="6" t="str">
        <x:v>R017</x:v>
      </x:c>
      <x:c r="B18" s="6" t="str">
        <x:v>Augmentation paired</x:v>
      </x:c>
      <x:c r="C18" s="6" t="str">
        <x:v>Original generator</x:v>
      </x:c>
      <x:c r="D18" s="6" t="str">
        <x:v>short_coordinated_seed42_v1</x:v>
      </x:c>
      <x:c r="E18" s="6" t="n">
        <x:v>42</x:v>
      </x:c>
      <x:c r="F18" s="6" t="str">
        <x:v>40, 41, 42, 43, 44, 45, 46, 47</x:v>
      </x:c>
      <x:c r="G18" s="6" t="str">
        <x:v>2003 Apr–Dec</x:v>
      </x:c>
      <x:c r="H18" s="6" t="str">
        <x:v>input_channels_40_47</x:v>
      </x:c>
      <x:c r="I18" s="9" t="n">
        <x:v>0.7142857142857143</x:v>
      </x:c>
      <x:c r="J18" s="9" t="n">
        <x:v>0.5</x:v>
      </x:c>
      <x:c r="K18" s="9" t="n">
        <x:v>1</x:v>
      </x:c>
      <x:c r="L18" s="9" t="n">
        <x:v>0.16666666666666666</x:v>
      </x:c>
      <x:c r="M18" s="6" t="n">
        <x:v>1</x:v>
      </x:c>
      <x:c r="N18" s="6" t="n">
        <x:v>0</x:v>
      </x:c>
      <x:c r="O18" s="6" t="n">
        <x:v>5</x:v>
      </x:c>
      <x:c r="P18" s="6" t="n">
        <x:v>6</x:v>
      </x:c>
      <x:c r="Q18" s="6" t="n">
        <x:v>1</x:v>
      </x:c>
      <x:c r="R18" s="6" t="n">
        <x:v>1</x:v>
      </x:c>
      <x:c r="S18" s="6" t="n">
        <x:v>5</x:v>
      </x:c>
      <x:c r="T18" s="6" t="n">
        <x:v>25000</x:v>
      </x:c>
      <x:c r="U18" s="8" t="n">
        <x:v>36526</x:v>
      </x:c>
      <x:c r="V18" s="8" t="n">
        <x:v>37622</x:v>
      </x:c>
      <x:c r="W18" s="8" t="n">
        <x:v>37622</x:v>
      </x:c>
      <x:c r="X18" s="8" t="n">
        <x:v>37712</x:v>
      </x:c>
      <x:c r="Y18" s="8" t="n">
        <x:v>37712</x:v>
      </x:c>
      <x:c r="Z18" s="8" t="n">
        <x:v>37987</x:v>
      </x:c>
      <x:c r="AA18" s="6" t="str">
        <x:v>[start,end)</x:v>
      </x:c>
      <x:c r="AB18" s="10" t="n">
        <x:v>0</x:v>
      </x:c>
      <x:c r="AC18" s="10" t="n">
        <x:v>21981260.799</x:v>
      </x:c>
      <x:c r="AD18" s="9" t="n">
        <x:v>0</x:v>
      </x:c>
      <x:c r="AE18" s="9" t="n">
        <x:v>0</x:v>
      </x:c>
      <x:c r="AF18" s="9" t="n">
        <x:v>1</x:v>
      </x:c>
      <x:c r="AG18" s="6" t="str">
        <x:v>esa-ew-id-duration-v1</x:v>
      </x:c>
      <x:c r="AH18" s="6" t="str">
        <x:v>Real prepared telemetry + real annotations</x:v>
      </x:c>
      <x:c r="AI18" s="6" t="str">
        <x:v>Matched 5 epochs / 25,000 windows. Previously inspected development periods.</x:v>
      </x:c>
      <x:c r="AJ18" s="6" t="str">
        <x:v>S025</x:v>
      </x:c>
    </x:row>
    <x:row r="19" ht="43" customHeight="1">
      <x:c r="A19" s="6" t="str">
        <x:v>R018</x:v>
      </x:c>
      <x:c r="B19" s="6" t="str">
        <x:v>Augmentation paired</x:v>
      </x:c>
      <x:c r="C19" s="6" t="str">
        <x:v>Short coordinated generator</x:v>
      </x:c>
      <x:c r="D19" s="6" t="str">
        <x:v>short_coordinated_seed42_v1</x:v>
      </x:c>
      <x:c r="E19" s="6" t="n">
        <x:v>42</x:v>
      </x:c>
      <x:c r="F19" s="6" t="str">
        <x:v>40, 41, 42, 43, 44, 45, 46, 47</x:v>
      </x:c>
      <x:c r="G19" s="6" t="str">
        <x:v>2003 Apr–Dec</x:v>
      </x:c>
      <x:c r="H19" s="6" t="str">
        <x:v>system_all_channels</x:v>
      </x:c>
      <x:c r="I19" s="9" t="n">
        <x:v>0.7142857142857143</x:v>
      </x:c>
      <x:c r="J19" s="9" t="n">
        <x:v>0.7142841320076883</x:v>
      </x:c>
      <x:c r="K19" s="9" t="n">
        <x:v>0.9999961234252767</x:v>
      </x:c>
      <x:c r="L19" s="9" t="n">
        <x:v>0.3333333333333333</x:v>
      </x:c>
      <x:c r="M19" s="6" t="n">
        <x:v>2</x:v>
      </x:c>
      <x:c r="N19" s="6" t="n">
        <x:v>0</x:v>
      </x:c>
      <x:c r="O19" s="6" t="n">
        <x:v>4</x:v>
      </x:c>
      <x:c r="P19" s="6" t="n">
        <x:v>6</x:v>
      </x:c>
      <x:c r="Q19" s="6" t="n">
        <x:v>2</x:v>
      </x:c>
      <x:c r="R19" s="6" t="n">
        <x:v>1</x:v>
      </x:c>
      <x:c r="S19" s="6" t="n">
        <x:v>5</x:v>
      </x:c>
      <x:c r="T19" s="6" t="n">
        <x:v>25000</x:v>
      </x:c>
      <x:c r="U19" s="8" t="n">
        <x:v>36526</x:v>
      </x:c>
      <x:c r="V19" s="8" t="n">
        <x:v>37622</x:v>
      </x:c>
      <x:c r="W19" s="8" t="n">
        <x:v>37622</x:v>
      </x:c>
      <x:c r="X19" s="8" t="n">
        <x:v>37712</x:v>
      </x:c>
      <x:c r="Y19" s="8" t="n">
        <x:v>37712</x:v>
      </x:c>
      <x:c r="Z19" s="8" t="n">
        <x:v>37987</x:v>
      </x:c>
      <x:c r="AA19" s="6" t="str">
        <x:v>[start,end)</x:v>
      </x:c>
      <x:c r="AB19" s="10" t="n">
        <x:v>85.212</x:v>
      </x:c>
      <x:c r="AC19" s="10" t="n">
        <x:v>21981260.799</x:v>
      </x:c>
      <x:c r="AD19" s="9" t="n">
        <x:v>0.000003876574723338244</x:v>
      </x:c>
      <x:c r="AE19" s="9" t="n">
        <x:v>0</x:v>
      </x:c>
      <x:c r="AF19" s="9" t="n">
        <x:v>1</x:v>
      </x:c>
      <x:c r="AG19" s="6" t="str">
        <x:v>esa-ew-id-duration-v1</x:v>
      </x:c>
      <x:c r="AH19" s="6" t="str">
        <x:v>Real prepared telemetry + real annotations</x:v>
      </x:c>
      <x:c r="AI19" s="6" t="str">
        <x:v>Matched 5 epochs / 25,000 windows. Previously inspected development periods.</x:v>
      </x:c>
      <x:c r="AJ19" s="6" t="str">
        <x:v>S025</x:v>
      </x:c>
    </x:row>
    <x:row r="20" ht="43" customHeight="1">
      <x:c r="A20" s="6" t="str">
        <x:v>R019</x:v>
      </x:c>
      <x:c r="B20" s="6" t="str">
        <x:v>Augmentation paired</x:v>
      </x:c>
      <x:c r="C20" s="6" t="str">
        <x:v>Short coordinated generator</x:v>
      </x:c>
      <x:c r="D20" s="6" t="str">
        <x:v>short_coordinated_seed42_v1</x:v>
      </x:c>
      <x:c r="E20" s="6" t="n">
        <x:v>42</x:v>
      </x:c>
      <x:c r="F20" s="6" t="str">
        <x:v>40, 41, 42, 43, 44, 45, 46, 47</x:v>
      </x:c>
      <x:c r="G20" s="6" t="str">
        <x:v>2003 Apr–Dec</x:v>
      </x:c>
      <x:c r="H20" s="6" t="str">
        <x:v>input_channels_40_47</x:v>
      </x:c>
      <x:c r="I20" s="9" t="n">
        <x:v>0.7142857142857143</x:v>
      </x:c>
      <x:c r="J20" s="9" t="n">
        <x:v>0.7142841320076883</x:v>
      </x:c>
      <x:c r="K20" s="9" t="n">
        <x:v>0.9999961234252767</x:v>
      </x:c>
      <x:c r="L20" s="9" t="n">
        <x:v>0.3333333333333333</x:v>
      </x:c>
      <x:c r="M20" s="6" t="n">
        <x:v>2</x:v>
      </x:c>
      <x:c r="N20" s="6" t="n">
        <x:v>0</x:v>
      </x:c>
      <x:c r="O20" s="6" t="n">
        <x:v>4</x:v>
      </x:c>
      <x:c r="P20" s="6" t="n">
        <x:v>6</x:v>
      </x:c>
      <x:c r="Q20" s="6" t="n">
        <x:v>2</x:v>
      </x:c>
      <x:c r="R20" s="6" t="n">
        <x:v>1</x:v>
      </x:c>
      <x:c r="S20" s="6" t="n">
        <x:v>5</x:v>
      </x:c>
      <x:c r="T20" s="6" t="n">
        <x:v>25000</x:v>
      </x:c>
      <x:c r="U20" s="8" t="n">
        <x:v>36526</x:v>
      </x:c>
      <x:c r="V20" s="8" t="n">
        <x:v>37622</x:v>
      </x:c>
      <x:c r="W20" s="8" t="n">
        <x:v>37622</x:v>
      </x:c>
      <x:c r="X20" s="8" t="n">
        <x:v>37712</x:v>
      </x:c>
      <x:c r="Y20" s="8" t="n">
        <x:v>37712</x:v>
      </x:c>
      <x:c r="Z20" s="8" t="n">
        <x:v>37987</x:v>
      </x:c>
      <x:c r="AA20" s="6" t="str">
        <x:v>[start,end)</x:v>
      </x:c>
      <x:c r="AB20" s="10" t="n">
        <x:v>85.212</x:v>
      </x:c>
      <x:c r="AC20" s="10" t="n">
        <x:v>21981260.799</x:v>
      </x:c>
      <x:c r="AD20" s="9" t="n">
        <x:v>0.000003876574723338244</x:v>
      </x:c>
      <x:c r="AE20" s="9" t="n">
        <x:v>0</x:v>
      </x:c>
      <x:c r="AF20" s="9" t="n">
        <x:v>1</x:v>
      </x:c>
      <x:c r="AG20" s="6" t="str">
        <x:v>esa-ew-id-duration-v1</x:v>
      </x:c>
      <x:c r="AH20" s="6" t="str">
        <x:v>Real prepared telemetry + real annotations</x:v>
      </x:c>
      <x:c r="AI20" s="6" t="str">
        <x:v>Matched 5 epochs / 25,000 windows. Previously inspected development periods.</x:v>
      </x:c>
      <x:c r="AJ20" s="6" t="str">
        <x:v>S025</x:v>
      </x:c>
    </x:row>
    <x:row r="21" ht="43" customHeight="1">
      <x:c r="A21" s="6" t="str">
        <x:v>R020</x:v>
      </x:c>
      <x:c r="B21" s="6" t="str">
        <x:v>Augmentation paired</x:v>
      </x:c>
      <x:c r="C21" s="6" t="str">
        <x:v>Original generator</x:v>
      </x:c>
      <x:c r="D21" s="6" t="str">
        <x:v>short_coordinated_seed42_v1</x:v>
      </x:c>
      <x:c r="E21" s="6" t="n">
        <x:v>42</x:v>
      </x:c>
      <x:c r="F21" s="6" t="str">
        <x:v>40, 41, 42, 43, 44, 45, 46, 47</x:v>
      </x:c>
      <x:c r="G21" s="6" t="str">
        <x:v>2004 Apr–Dec</x:v>
      </x:c>
      <x:c r="H21" s="6" t="str">
        <x:v>system_all_channels</x:v>
      </x:c>
      <x:c r="I21" s="9" t="n">
        <x:v>0.23758222324322237</x:v>
      </x:c>
      <x:c r="J21" s="9" t="n">
        <x:v>0.25576960838239177</x:v>
      </x:c>
      <x:c r="K21" s="9" t="n">
        <x:v>0.23462002231958792</x:v>
      </x:c>
      <x:c r="L21" s="9" t="n">
        <x:v>0.4</x:v>
      </x:c>
      <x:c r="M21" s="6" t="n">
        <x:v>4</x:v>
      </x:c>
      <x:c r="N21" s="6" t="n">
        <x:v>13</x:v>
      </x:c>
      <x:c r="O21" s="6" t="n">
        <x:v>6</x:v>
      </x:c>
      <x:c r="P21" s="6" t="n">
        <x:v>10</x:v>
      </x:c>
      <x:c r="Q21" s="6" t="n">
        <x:v>19</x:v>
      </x:c>
      <x:c r="R21" s="6" t="n">
        <x:v>2</x:v>
      </x:c>
      <x:c r="S21" s="6" t="n">
        <x:v>5</x:v>
      </x:c>
      <x:c r="T21" s="6" t="n">
        <x:v>25000</x:v>
      </x:c>
      <x:c r="U21" s="8" t="n">
        <x:v>36526</x:v>
      </x:c>
      <x:c r="V21" s="8" t="n">
        <x:v>37987</x:v>
      </x:c>
      <x:c r="W21" s="8" t="n">
        <x:v>37987</x:v>
      </x:c>
      <x:c r="X21" s="8" t="n">
        <x:v>38078</x:v>
      </x:c>
      <x:c r="Y21" s="8" t="n">
        <x:v>38078</x:v>
      </x:c>
      <x:c r="Z21" s="8" t="n">
        <x:v>38353</x:v>
      </x:c>
      <x:c r="AA21" s="6" t="str">
        <x:v>[start,end)</x:v>
      </x:c>
      <x:c r="AB21" s="10" t="n">
        <x:v>61470</x:v>
      </x:c>
      <x:c r="AC21" s="10" t="n">
        <x:v>21456207.783</x:v>
      </x:c>
      <x:c r="AD21" s="9" t="n">
        <x:v>0.002864905141751306</x:v>
      </x:c>
      <x:c r="AE21" s="9" t="n">
        <x:v>0.0472727869605896</x:v>
      </x:c>
      <x:c r="AF21" s="9" t="n">
        <x:v>0.6666666666666666</x:v>
      </x:c>
      <x:c r="AG21" s="6" t="str">
        <x:v>esa-ew-id-duration-v1</x:v>
      </x:c>
      <x:c r="AH21" s="6" t="str">
        <x:v>Real prepared telemetry + real annotations</x:v>
      </x:c>
      <x:c r="AI21" s="6" t="str">
        <x:v>Matched 5 epochs / 25,000 windows. Previously inspected development periods.</x:v>
      </x:c>
      <x:c r="AJ21" s="6" t="str">
        <x:v>S025</x:v>
      </x:c>
    </x:row>
    <x:row r="22" ht="43" customHeight="1">
      <x:c r="A22" s="6" t="str">
        <x:v>R021</x:v>
      </x:c>
      <x:c r="B22" s="6" t="str">
        <x:v>Augmentation paired</x:v>
      </x:c>
      <x:c r="C22" s="6" t="str">
        <x:v>Original generator</x:v>
      </x:c>
      <x:c r="D22" s="6" t="str">
        <x:v>short_coordinated_seed42_v1</x:v>
      </x:c>
      <x:c r="E22" s="6" t="n">
        <x:v>42</x:v>
      </x:c>
      <x:c r="F22" s="6" t="str">
        <x:v>40, 41, 42, 43, 44, 45, 46, 47</x:v>
      </x:c>
      <x:c r="G22" s="6" t="str">
        <x:v>2004 Apr–Dec</x:v>
      </x:c>
      <x:c r="H22" s="6" t="str">
        <x:v>input_channels_40_47</x:v>
      </x:c>
      <x:c r="I22" s="9" t="n">
        <x:v>0.23758222324322237</x:v>
      </x:c>
      <x:c r="J22" s="9" t="n">
        <x:v>0.26597381100448</x:v>
      </x:c>
      <x:c r="K22" s="9" t="n">
        <x:v>0.23462002231958792</x:v>
      </x:c>
      <x:c r="L22" s="9" t="n">
        <x:v>0.5714285714285714</x:v>
      </x:c>
      <x:c r="M22" s="6" t="n">
        <x:v>4</x:v>
      </x:c>
      <x:c r="N22" s="6" t="n">
        <x:v>13</x:v>
      </x:c>
      <x:c r="O22" s="6" t="n">
        <x:v>3</x:v>
      </x:c>
      <x:c r="P22" s="6" t="n">
        <x:v>7</x:v>
      </x:c>
      <x:c r="Q22" s="6" t="n">
        <x:v>19</x:v>
      </x:c>
      <x:c r="R22" s="6" t="n">
        <x:v>2</x:v>
      </x:c>
      <x:c r="S22" s="6" t="n">
        <x:v>5</x:v>
      </x:c>
      <x:c r="T22" s="6" t="n">
        <x:v>25000</x:v>
      </x:c>
      <x:c r="U22" s="8" t="n">
        <x:v>36526</x:v>
      </x:c>
      <x:c r="V22" s="8" t="n">
        <x:v>37987</x:v>
      </x:c>
      <x:c r="W22" s="8" t="n">
        <x:v>37987</x:v>
      </x:c>
      <x:c r="X22" s="8" t="n">
        <x:v>38078</x:v>
      </x:c>
      <x:c r="Y22" s="8" t="n">
        <x:v>38078</x:v>
      </x:c>
      <x:c r="Z22" s="8" t="n">
        <x:v>38353</x:v>
      </x:c>
      <x:c r="AA22" s="6" t="str">
        <x:v>[start,end)</x:v>
      </x:c>
      <x:c r="AB22" s="10" t="n">
        <x:v>61470</x:v>
      </x:c>
      <x:c r="AC22" s="10" t="n">
        <x:v>21456207.783</x:v>
      </x:c>
      <x:c r="AD22" s="9" t="n">
        <x:v>0.002864905141751306</x:v>
      </x:c>
      <x:c r="AE22" s="9" t="n">
        <x:v>0.0472727869605896</x:v>
      </x:c>
      <x:c r="AF22" s="9" t="n">
        <x:v>0.6666666666666666</x:v>
      </x:c>
      <x:c r="AG22" s="6" t="str">
        <x:v>esa-ew-id-duration-v1</x:v>
      </x:c>
      <x:c r="AH22" s="6" t="str">
        <x:v>Real prepared telemetry + real annotations</x:v>
      </x:c>
      <x:c r="AI22" s="6" t="str">
        <x:v>Matched 5 epochs / 25,000 windows. Previously inspected development periods.</x:v>
      </x:c>
      <x:c r="AJ22" s="6" t="str">
        <x:v>S025</x:v>
      </x:c>
    </x:row>
    <x:row r="23" ht="43" customHeight="1">
      <x:c r="A23" s="6" t="str">
        <x:v>R022</x:v>
      </x:c>
      <x:c r="B23" s="6" t="str">
        <x:v>Augmentation paired</x:v>
      </x:c>
      <x:c r="C23" s="6" t="str">
        <x:v>Short coordinated generator</x:v>
      </x:c>
      <x:c r="D23" s="6" t="str">
        <x:v>short_coordinated_seed42_v1</x:v>
      </x:c>
      <x:c r="E23" s="6" t="n">
        <x:v>42</x:v>
      </x:c>
      <x:c r="F23" s="6" t="str">
        <x:v>40, 41, 42, 43, 44, 45, 46, 47</x:v>
      </x:c>
      <x:c r="G23" s="6" t="str">
        <x:v>2004 Apr–Dec</x:v>
      </x:c>
      <x:c r="H23" s="6" t="str">
        <x:v>system_all_channels</x:v>
      </x:c>
      <x:c r="I23" s="9" t="n">
        <x:v>0</x:v>
      </x:c>
      <x:c r="J23" s="9" t="n">
        <x:v>0.37784526681606334</x:v>
      </x:c>
      <x:c r="K23" s="9" t="n">
        <x:v>0.3560958688899843</x:v>
      </x:c>
      <x:c r="L23" s="9" t="n">
        <x:v>0.5</x:v>
      </x:c>
      <x:c r="M23" s="6" t="n">
        <x:v>5</x:v>
      </x:c>
      <x:c r="N23" s="6" t="n">
        <x:v>9</x:v>
      </x:c>
      <x:c r="O23" s="6" t="n">
        <x:v>5</x:v>
      </x:c>
      <x:c r="P23" s="6" t="n">
        <x:v>10</x:v>
      </x:c>
      <x:c r="Q23" s="6" t="n">
        <x:v>16</x:v>
      </x:c>
      <x:c r="R23" s="6" t="n">
        <x:v>1</x:v>
      </x:c>
      <x:c r="S23" s="6" t="n">
        <x:v>5</x:v>
      </x:c>
      <x:c r="T23" s="6" t="n">
        <x:v>25000</x:v>
      </x:c>
      <x:c r="U23" s="8" t="n">
        <x:v>36526</x:v>
      </x:c>
      <x:c r="V23" s="8" t="n">
        <x:v>37987</x:v>
      </x:c>
      <x:c r="W23" s="8" t="n">
        <x:v>37987</x:v>
      </x:c>
      <x:c r="X23" s="8" t="n">
        <x:v>38078</x:v>
      </x:c>
      <x:c r="Y23" s="8" t="n">
        <x:v>38078</x:v>
      </x:c>
      <x:c r="Z23" s="8" t="n">
        <x:v>38353</x:v>
      </x:c>
      <x:c r="AA23" s="6" t="str">
        <x:v>[start,end)</x:v>
      </x:c>
      <x:c r="AB23" s="10" t="n">
        <x:v>62900.313</x:v>
      </x:c>
      <x:c r="AC23" s="10" t="n">
        <x:v>21456207.783</x:v>
      </x:c>
      <x:c r="AD23" s="9" t="n">
        <x:v>0.0029315671080439865</x:v>
      </x:c>
      <x:c r="AE23" s="9" t="n">
        <x:v>0.03272731404963895</x:v>
      </x:c>
      <x:c r="AF23" s="9" t="n">
        <x:v>0.7142857142857143</x:v>
      </x:c>
      <x:c r="AG23" s="6" t="str">
        <x:v>esa-ew-id-duration-v1</x:v>
      </x:c>
      <x:c r="AH23" s="6" t="str">
        <x:v>Real prepared telemetry + real annotations</x:v>
      </x:c>
      <x:c r="AI23" s="6" t="str">
        <x:v>Matched 5 epochs / 25,000 windows. Previously inspected development periods.</x:v>
      </x:c>
      <x:c r="AJ23" s="6" t="str">
        <x:v>S025</x:v>
      </x:c>
    </x:row>
    <x:row r="24" ht="43" customHeight="1">
      <x:c r="A24" s="6" t="str">
        <x:v>R023</x:v>
      </x:c>
      <x:c r="B24" s="6" t="str">
        <x:v>Augmentation paired</x:v>
      </x:c>
      <x:c r="C24" s="6" t="str">
        <x:v>Short coordinated generator</x:v>
      </x:c>
      <x:c r="D24" s="6" t="str">
        <x:v>short_coordinated_seed42_v1</x:v>
      </x:c>
      <x:c r="E24" s="6" t="n">
        <x:v>42</x:v>
      </x:c>
      <x:c r="F24" s="6" t="str">
        <x:v>40, 41, 42, 43, 44, 45, 46, 47</x:v>
      </x:c>
      <x:c r="G24" s="6" t="str">
        <x:v>2004 Apr–Dec</x:v>
      </x:c>
      <x:c r="H24" s="6" t="str">
        <x:v>input_channels_40_47</x:v>
      </x:c>
      <x:c r="I24" s="9" t="n">
        <x:v>0</x:v>
      </x:c>
      <x:c r="J24" s="9" t="n">
        <x:v>0.39579099741883733</x:v>
      </x:c>
      <x:c r="K24" s="9" t="n">
        <x:v>0.3560958688899843</x:v>
      </x:c>
      <x:c r="L24" s="9" t="n">
        <x:v>0.7142857142857143</x:v>
      </x:c>
      <x:c r="M24" s="6" t="n">
        <x:v>5</x:v>
      </x:c>
      <x:c r="N24" s="6" t="n">
        <x:v>9</x:v>
      </x:c>
      <x:c r="O24" s="6" t="n">
        <x:v>2</x:v>
      </x:c>
      <x:c r="P24" s="6" t="n">
        <x:v>7</x:v>
      </x:c>
      <x:c r="Q24" s="6" t="n">
        <x:v>16</x:v>
      </x:c>
      <x:c r="R24" s="6" t="n">
        <x:v>1</x:v>
      </x:c>
      <x:c r="S24" s="6" t="n">
        <x:v>5</x:v>
      </x:c>
      <x:c r="T24" s="6" t="n">
        <x:v>25000</x:v>
      </x:c>
      <x:c r="U24" s="8" t="n">
        <x:v>36526</x:v>
      </x:c>
      <x:c r="V24" s="8" t="n">
        <x:v>37987</x:v>
      </x:c>
      <x:c r="W24" s="8" t="n">
        <x:v>37987</x:v>
      </x:c>
      <x:c r="X24" s="8" t="n">
        <x:v>38078</x:v>
      </x:c>
      <x:c r="Y24" s="8" t="n">
        <x:v>38078</x:v>
      </x:c>
      <x:c r="Z24" s="8" t="n">
        <x:v>38353</x:v>
      </x:c>
      <x:c r="AA24" s="6" t="str">
        <x:v>[start,end)</x:v>
      </x:c>
      <x:c r="AB24" s="10" t="n">
        <x:v>62900.313</x:v>
      </x:c>
      <x:c r="AC24" s="10" t="n">
        <x:v>21456207.783</x:v>
      </x:c>
      <x:c r="AD24" s="9" t="n">
        <x:v>0.0029315671080439865</x:v>
      </x:c>
      <x:c r="AE24" s="9" t="n">
        <x:v>0.03272731404963895</x:v>
      </x:c>
      <x:c r="AF24" s="9" t="n">
        <x:v>0.7142857142857143</x:v>
      </x:c>
      <x:c r="AG24" s="6" t="str">
        <x:v>esa-ew-id-duration-v1</x:v>
      </x:c>
      <x:c r="AH24" s="6" t="str">
        <x:v>Real prepared telemetry + real annotations</x:v>
      </x:c>
      <x:c r="AI24" s="6" t="str">
        <x:v>Matched 5 epochs / 25,000 windows. Previously inspected development periods.</x:v>
      </x:c>
      <x:c r="AJ24" s="6" t="str">
        <x:v>S025</x:v>
      </x:c>
    </x:row>
    <x:row r="25" ht="43" customHeight="1">
      <x:c r="A25" s="6" t="str">
        <x:v>R024</x:v>
      </x:c>
      <x:c r="B25" s="6" t="str">
        <x:v>Augmentation paired</x:v>
      </x:c>
      <x:c r="C25" s="6" t="str">
        <x:v>Original generator</x:v>
      </x:c>
      <x:c r="D25" s="6" t="str">
        <x:v>short_coordinated_seed42_v1</x:v>
      </x:c>
      <x:c r="E25" s="6" t="n">
        <x:v>42</x:v>
      </x:c>
      <x:c r="F25" s="6" t="str">
        <x:v>40, 41, 42, 43, 44, 45, 46, 47</x:v>
      </x:c>
      <x:c r="G25" s="6" t="str">
        <x:v>2005 Apr–Dec</x:v>
      </x:c>
      <x:c r="H25" s="6" t="str">
        <x:v>system_all_channels</x:v>
      </x:c>
      <x:c r="I25" s="9" t="n">
        <x:v>0.8328804736937059</x:v>
      </x:c>
      <x:c r="J25" s="9" t="n">
        <x:v>0.8690854401676537</x:v>
      </x:c>
      <x:c r="K25" s="9" t="n">
        <x:v>0.9992070596833627</x:v>
      </x:c>
      <x:c r="L25" s="9" t="n">
        <x:v>0.5714285714285714</x:v>
      </x:c>
      <x:c r="M25" s="6" t="n">
        <x:v>4</x:v>
      </x:c>
      <x:c r="N25" s="6" t="n">
        <x:v>0</x:v>
      </x:c>
      <x:c r="O25" s="6" t="n">
        <x:v>3</x:v>
      </x:c>
      <x:c r="P25" s="6" t="n">
        <x:v>7</x:v>
      </x:c>
      <x:c r="Q25" s="6" t="n">
        <x:v>4</x:v>
      </x:c>
      <x:c r="R25" s="6" t="n">
        <x:v>1</x:v>
      </x:c>
      <x:c r="S25" s="6" t="n">
        <x:v>5</x:v>
      </x:c>
      <x:c r="T25" s="6" t="n">
        <x:v>25000</x:v>
      </x:c>
      <x:c r="U25" s="8" t="n">
        <x:v>36526</x:v>
      </x:c>
      <x:c r="V25" s="8" t="n">
        <x:v>38353</x:v>
      </x:c>
      <x:c r="W25" s="8" t="n">
        <x:v>38353</x:v>
      </x:c>
      <x:c r="X25" s="8" t="n">
        <x:v>38443</x:v>
      </x:c>
      <x:c r="Y25" s="8" t="n">
        <x:v>38443</x:v>
      </x:c>
      <x:c r="Z25" s="8" t="n">
        <x:v>38718</x:v>
      </x:c>
      <x:c r="AA25" s="6" t="str">
        <x:v>[start,end)</x:v>
      </x:c>
      <x:c r="AB25" s="10" t="n">
        <x:v>15224.184</x:v>
      </x:c>
      <x:c r="AC25" s="10" t="n">
        <x:v>19199659.395</x:v>
      </x:c>
      <x:c r="AD25" s="9" t="n">
        <x:v>0.0007929403166373472</x:v>
      </x:c>
      <x:c r="AE25" s="9" t="n">
        <x:v>0</x:v>
      </x:c>
      <x:c r="AF25" s="9" t="n">
        <x:v>1</x:v>
      </x:c>
      <x:c r="AG25" s="6" t="str">
        <x:v>esa-ew-id-duration-v1</x:v>
      </x:c>
      <x:c r="AH25" s="6" t="str">
        <x:v>Real prepared telemetry + real annotations</x:v>
      </x:c>
      <x:c r="AI25" s="6" t="str">
        <x:v>Matched 5 epochs / 25,000 windows. Previously inspected development periods.</x:v>
      </x:c>
      <x:c r="AJ25" s="6" t="str">
        <x:v>S025</x:v>
      </x:c>
    </x:row>
    <x:row r="26" ht="43" customHeight="1">
      <x:c r="A26" s="6" t="str">
        <x:v>R025</x:v>
      </x:c>
      <x:c r="B26" s="6" t="str">
        <x:v>Augmentation paired</x:v>
      </x:c>
      <x:c r="C26" s="6" t="str">
        <x:v>Original generator</x:v>
      </x:c>
      <x:c r="D26" s="6" t="str">
        <x:v>short_coordinated_seed42_v1</x:v>
      </x:c>
      <x:c r="E26" s="6" t="n">
        <x:v>42</x:v>
      </x:c>
      <x:c r="F26" s="6" t="str">
        <x:v>40, 41, 42, 43, 44, 45, 46, 47</x:v>
      </x:c>
      <x:c r="G26" s="6" t="str">
        <x:v>2005 Apr–Dec</x:v>
      </x:c>
      <x:c r="H26" s="6" t="str">
        <x:v>input_channels_40_47</x:v>
      </x:c>
      <x:c r="I26" s="9" t="n">
        <x:v>0.8328804736937059</x:v>
      </x:c>
      <x:c r="J26" s="9" t="n">
        <x:v>0.8690854401676537</x:v>
      </x:c>
      <x:c r="K26" s="9" t="n">
        <x:v>0.9992070596833627</x:v>
      </x:c>
      <x:c r="L26" s="9" t="n">
        <x:v>0.5714285714285714</x:v>
      </x:c>
      <x:c r="M26" s="6" t="n">
        <x:v>4</x:v>
      </x:c>
      <x:c r="N26" s="6" t="n">
        <x:v>0</x:v>
      </x:c>
      <x:c r="O26" s="6" t="n">
        <x:v>3</x:v>
      </x:c>
      <x:c r="P26" s="6" t="n">
        <x:v>7</x:v>
      </x:c>
      <x:c r="Q26" s="6" t="n">
        <x:v>4</x:v>
      </x:c>
      <x:c r="R26" s="6" t="n">
        <x:v>1</x:v>
      </x:c>
      <x:c r="S26" s="6" t="n">
        <x:v>5</x:v>
      </x:c>
      <x:c r="T26" s="6" t="n">
        <x:v>25000</x:v>
      </x:c>
      <x:c r="U26" s="8" t="n">
        <x:v>36526</x:v>
      </x:c>
      <x:c r="V26" s="8" t="n">
        <x:v>38353</x:v>
      </x:c>
      <x:c r="W26" s="8" t="n">
        <x:v>38353</x:v>
      </x:c>
      <x:c r="X26" s="8" t="n">
        <x:v>38443</x:v>
      </x:c>
      <x:c r="Y26" s="8" t="n">
        <x:v>38443</x:v>
      </x:c>
      <x:c r="Z26" s="8" t="n">
        <x:v>38718</x:v>
      </x:c>
      <x:c r="AA26" s="6" t="str">
        <x:v>[start,end)</x:v>
      </x:c>
      <x:c r="AB26" s="10" t="n">
        <x:v>15224.184</x:v>
      </x:c>
      <x:c r="AC26" s="10" t="n">
        <x:v>19199659.395</x:v>
      </x:c>
      <x:c r="AD26" s="9" t="n">
        <x:v>0.0007929403166373472</x:v>
      </x:c>
      <x:c r="AE26" s="9" t="n">
        <x:v>0</x:v>
      </x:c>
      <x:c r="AF26" s="9" t="n">
        <x:v>1</x:v>
      </x:c>
      <x:c r="AG26" s="6" t="str">
        <x:v>esa-ew-id-duration-v1</x:v>
      </x:c>
      <x:c r="AH26" s="6" t="str">
        <x:v>Real prepared telemetry + real annotations</x:v>
      </x:c>
      <x:c r="AI26" s="6" t="str">
        <x:v>Matched 5 epochs / 25,000 windows. Previously inspected development periods.</x:v>
      </x:c>
      <x:c r="AJ26" s="6" t="str">
        <x:v>S025</x:v>
      </x:c>
    </x:row>
    <x:row r="27" ht="43" customHeight="1">
      <x:c r="A27" s="6" t="str">
        <x:v>R026</x:v>
      </x:c>
      <x:c r="B27" s="6" t="str">
        <x:v>Augmentation paired</x:v>
      </x:c>
      <x:c r="C27" s="6" t="str">
        <x:v>Short coordinated generator</x:v>
      </x:c>
      <x:c r="D27" s="6" t="str">
        <x:v>short_coordinated_seed42_v1</x:v>
      </x:c>
      <x:c r="E27" s="6" t="n">
        <x:v>42</x:v>
      </x:c>
      <x:c r="F27" s="6" t="str">
        <x:v>40, 41, 42, 43, 44, 45, 46, 47</x:v>
      </x:c>
      <x:c r="G27" s="6" t="str">
        <x:v>2005 Apr–Dec</x:v>
      </x:c>
      <x:c r="H27" s="6" t="str">
        <x:v>system_all_channels</x:v>
      </x:c>
      <x:c r="I27" s="9" t="n">
        <x:v>0.8328804736937059</x:v>
      </x:c>
      <x:c r="J27" s="9" t="n">
        <x:v>0.9993655471300382</x:v>
      </x:c>
      <x:c r="K27" s="9" t="n">
        <x:v>0.9992070596833627</x:v>
      </x:c>
      <x:c r="L27" s="9" t="n">
        <x:v>1</x:v>
      </x:c>
      <x:c r="M27" s="6" t="n">
        <x:v>7</x:v>
      </x:c>
      <x:c r="N27" s="6" t="n">
        <x:v>0</x:v>
      </x:c>
      <x:c r="O27" s="6" t="n">
        <x:v>0</x:v>
      </x:c>
      <x:c r="P27" s="6" t="n">
        <x:v>7</x:v>
      </x:c>
      <x:c r="Q27" s="6" t="n">
        <x:v>7</x:v>
      </x:c>
      <x:c r="R27" s="6" t="n">
        <x:v>1</x:v>
      </x:c>
      <x:c r="S27" s="6" t="n">
        <x:v>5</x:v>
      </x:c>
      <x:c r="T27" s="6" t="n">
        <x:v>25000</x:v>
      </x:c>
      <x:c r="U27" s="8" t="n">
        <x:v>36526</x:v>
      </x:c>
      <x:c r="V27" s="8" t="n">
        <x:v>38353</x:v>
      </x:c>
      <x:c r="W27" s="8" t="n">
        <x:v>38353</x:v>
      </x:c>
      <x:c r="X27" s="8" t="n">
        <x:v>38443</x:v>
      </x:c>
      <x:c r="Y27" s="8" t="n">
        <x:v>38443</x:v>
      </x:c>
      <x:c r="Z27" s="8" t="n">
        <x:v>38718</x:v>
      </x:c>
      <x:c r="AA27" s="6" t="str">
        <x:v>[start,end)</x:v>
      </x:c>
      <x:c r="AB27" s="10" t="n">
        <x:v>15224.184</x:v>
      </x:c>
      <x:c r="AC27" s="10" t="n">
        <x:v>19199659.395</x:v>
      </x:c>
      <x:c r="AD27" s="9" t="n">
        <x:v>0.0007929403166373472</x:v>
      </x:c>
      <x:c r="AE27" s="9" t="n">
        <x:v>0</x:v>
      </x:c>
      <x:c r="AF27" s="9" t="n">
        <x:v>0.875</x:v>
      </x:c>
      <x:c r="AG27" s="6" t="str">
        <x:v>esa-ew-id-duration-v1</x:v>
      </x:c>
      <x:c r="AH27" s="6" t="str">
        <x:v>Real prepared telemetry + real annotations</x:v>
      </x:c>
      <x:c r="AI27" s="6" t="str">
        <x:v>Matched 5 epochs / 25,000 windows. Previously inspected development periods.</x:v>
      </x:c>
      <x:c r="AJ27" s="6" t="str">
        <x:v>S025</x:v>
      </x:c>
    </x:row>
    <x:row r="28" ht="43" customHeight="1">
      <x:c r="A28" s="6" t="str">
        <x:v>R027</x:v>
      </x:c>
      <x:c r="B28" s="6" t="str">
        <x:v>Augmentation paired</x:v>
      </x:c>
      <x:c r="C28" s="6" t="str">
        <x:v>Short coordinated generator</x:v>
      </x:c>
      <x:c r="D28" s="6" t="str">
        <x:v>short_coordinated_seed42_v1</x:v>
      </x:c>
      <x:c r="E28" s="6" t="n">
        <x:v>42</x:v>
      </x:c>
      <x:c r="F28" s="6" t="str">
        <x:v>40, 41, 42, 43, 44, 45, 46, 47</x:v>
      </x:c>
      <x:c r="G28" s="6" t="str">
        <x:v>2005 Apr–Dec</x:v>
      </x:c>
      <x:c r="H28" s="6" t="str">
        <x:v>input_channels_40_47</x:v>
      </x:c>
      <x:c r="I28" s="9" t="n">
        <x:v>0.8328804736937059</x:v>
      </x:c>
      <x:c r="J28" s="9" t="n">
        <x:v>0.9993655471300382</x:v>
      </x:c>
      <x:c r="K28" s="9" t="n">
        <x:v>0.9992070596833627</x:v>
      </x:c>
      <x:c r="L28" s="9" t="n">
        <x:v>1</x:v>
      </x:c>
      <x:c r="M28" s="6" t="n">
        <x:v>7</x:v>
      </x:c>
      <x:c r="N28" s="6" t="n">
        <x:v>0</x:v>
      </x:c>
      <x:c r="O28" s="6" t="n">
        <x:v>0</x:v>
      </x:c>
      <x:c r="P28" s="6" t="n">
        <x:v>7</x:v>
      </x:c>
      <x:c r="Q28" s="6" t="n">
        <x:v>7</x:v>
      </x:c>
      <x:c r="R28" s="6" t="n">
        <x:v>1</x:v>
      </x:c>
      <x:c r="S28" s="6" t="n">
        <x:v>5</x:v>
      </x:c>
      <x:c r="T28" s="6" t="n">
        <x:v>25000</x:v>
      </x:c>
      <x:c r="U28" s="8" t="n">
        <x:v>36526</x:v>
      </x:c>
      <x:c r="V28" s="8" t="n">
        <x:v>38353</x:v>
      </x:c>
      <x:c r="W28" s="8" t="n">
        <x:v>38353</x:v>
      </x:c>
      <x:c r="X28" s="8" t="n">
        <x:v>38443</x:v>
      </x:c>
      <x:c r="Y28" s="8" t="n">
        <x:v>38443</x:v>
      </x:c>
      <x:c r="Z28" s="8" t="n">
        <x:v>38718</x:v>
      </x:c>
      <x:c r="AA28" s="6" t="str">
        <x:v>[start,end)</x:v>
      </x:c>
      <x:c r="AB28" s="10" t="n">
        <x:v>15224.184</x:v>
      </x:c>
      <x:c r="AC28" s="10" t="n">
        <x:v>19199659.395</x:v>
      </x:c>
      <x:c r="AD28" s="9" t="n">
        <x:v>0.0007929403166373472</x:v>
      </x:c>
      <x:c r="AE28" s="9" t="n">
        <x:v>0</x:v>
      </x:c>
      <x:c r="AF28" s="9" t="n">
        <x:v>1</x:v>
      </x:c>
      <x:c r="AG28" s="6" t="str">
        <x:v>esa-ew-id-duration-v1</x:v>
      </x:c>
      <x:c r="AH28" s="6" t="str">
        <x:v>Real prepared telemetry + real annotations</x:v>
      </x:c>
      <x:c r="AI28" s="6" t="str">
        <x:v>Matched 5 epochs / 25,000 windows. Previously inspected development periods.</x:v>
      </x:c>
      <x:c r="AJ28" s="6" t="str">
        <x:v>S025</x:v>
      </x:c>
    </x:row>
    <x:row r="29" ht="43" customHeight="1">
      <x:c r="A29" s="6" t="str">
        <x:v>R028</x:v>
      </x:c>
      <x:c r="B29" s="6" t="str">
        <x:v>Augmentation paired</x:v>
      </x:c>
      <x:c r="C29" s="6" t="str">
        <x:v>Original generator</x:v>
      </x:c>
      <x:c r="D29" s="6" t="str">
        <x:v>short_coordinated_seed43_v1</x:v>
      </x:c>
      <x:c r="E29" s="6" t="n">
        <x:v>43</x:v>
      </x:c>
      <x:c r="F29" s="6" t="str">
        <x:v>40, 41, 42, 43, 44, 45, 46, 47</x:v>
      </x:c>
      <x:c r="G29" s="6" t="str">
        <x:v>2003 Apr–Dec</x:v>
      </x:c>
      <x:c r="H29" s="6" t="str">
        <x:v>system_all_channels</x:v>
      </x:c>
      <x:c r="I29" s="9" t="n">
        <x:v>0.7142857142857143</x:v>
      </x:c>
      <x:c r="J29" s="9" t="n">
        <x:v>0.5942890849499441</x:v>
      </x:c>
      <x:c r="K29" s="9" t="n">
        <x:v>0.5545224633135931</x:v>
      </x:c>
      <x:c r="L29" s="9" t="n">
        <x:v>0.8333333333333334</x:v>
      </x:c>
      <x:c r="M29" s="6" t="n">
        <x:v>5</x:v>
      </x:c>
      <x:c r="N29" s="6" t="n">
        <x:v>4</x:v>
      </x:c>
      <x:c r="O29" s="6" t="n">
        <x:v>1</x:v>
      </x:c>
      <x:c r="P29" s="6" t="n">
        <x:v>6</x:v>
      </x:c>
      <x:c r="Q29" s="6" t="n">
        <x:v>10</x:v>
      </x:c>
      <x:c r="R29" s="6" t="n">
        <x:v>1</x:v>
      </x:c>
      <x:c r="S29" s="6" t="n">
        <x:v>5</x:v>
      </x:c>
      <x:c r="T29" s="6" t="n">
        <x:v>25000</x:v>
      </x:c>
      <x:c r="U29" s="8" t="n">
        <x:v>36526</x:v>
      </x:c>
      <x:c r="V29" s="8" t="n">
        <x:v>37622</x:v>
      </x:c>
      <x:c r="W29" s="8" t="n">
        <x:v>37622</x:v>
      </x:c>
      <x:c r="X29" s="8" t="n">
        <x:v>37712</x:v>
      </x:c>
      <x:c r="Y29" s="8" t="n">
        <x:v>37712</x:v>
      </x:c>
      <x:c r="Z29" s="8" t="n">
        <x:v>37987</x:v>
      </x:c>
      <x:c r="AA29" s="6" t="str">
        <x:v>[start,end)</x:v>
      </x:c>
      <x:c r="AB29" s="10" t="n">
        <x:v>40875.606</x:v>
      </x:c>
      <x:c r="AC29" s="10" t="n">
        <x:v>21981260.799</x:v>
      </x:c>
      <x:c r="AD29" s="9" t="n">
        <x:v>0.0018595660355323895</x:v>
      </x:c>
      <x:c r="AE29" s="9" t="n">
        <x:v>0.014545472910950645</x:v>
      </x:c>
      <x:c r="AF29" s="9" t="n">
        <x:v>0.7142857142857143</x:v>
      </x:c>
      <x:c r="AG29" s="6" t="str">
        <x:v>esa-ew-id-duration-v1</x:v>
      </x:c>
      <x:c r="AH29" s="6" t="str">
        <x:v>Real prepared telemetry + real annotations</x:v>
      </x:c>
      <x:c r="AI29" s="6" t="str">
        <x:v>Matched 5 epochs / 25,000 windows. Previously inspected development periods.</x:v>
      </x:c>
      <x:c r="AJ29" s="6" t="str">
        <x:v>S033</x:v>
      </x:c>
    </x:row>
    <x:row r="30" ht="43" customHeight="1">
      <x:c r="A30" s="6" t="str">
        <x:v>R029</x:v>
      </x:c>
      <x:c r="B30" s="6" t="str">
        <x:v>Augmentation paired</x:v>
      </x:c>
      <x:c r="C30" s="6" t="str">
        <x:v>Original generator</x:v>
      </x:c>
      <x:c r="D30" s="6" t="str">
        <x:v>short_coordinated_seed43_v1</x:v>
      </x:c>
      <x:c r="E30" s="6" t="n">
        <x:v>43</x:v>
      </x:c>
      <x:c r="F30" s="6" t="str">
        <x:v>40, 41, 42, 43, 44, 45, 46, 47</x:v>
      </x:c>
      <x:c r="G30" s="6" t="str">
        <x:v>2003 Apr–Dec</x:v>
      </x:c>
      <x:c r="H30" s="6" t="str">
        <x:v>input_channels_40_47</x:v>
      </x:c>
      <x:c r="I30" s="9" t="n">
        <x:v>0.7142857142857143</x:v>
      </x:c>
      <x:c r="J30" s="9" t="n">
        <x:v>0.5942890849499441</x:v>
      </x:c>
      <x:c r="K30" s="9" t="n">
        <x:v>0.5545224633135931</x:v>
      </x:c>
      <x:c r="L30" s="9" t="n">
        <x:v>0.8333333333333334</x:v>
      </x:c>
      <x:c r="M30" s="6" t="n">
        <x:v>5</x:v>
      </x:c>
      <x:c r="N30" s="6" t="n">
        <x:v>4</x:v>
      </x:c>
      <x:c r="O30" s="6" t="n">
        <x:v>1</x:v>
      </x:c>
      <x:c r="P30" s="6" t="n">
        <x:v>6</x:v>
      </x:c>
      <x:c r="Q30" s="6" t="n">
        <x:v>10</x:v>
      </x:c>
      <x:c r="R30" s="6" t="n">
        <x:v>1</x:v>
      </x:c>
      <x:c r="S30" s="6" t="n">
        <x:v>5</x:v>
      </x:c>
      <x:c r="T30" s="6" t="n">
        <x:v>25000</x:v>
      </x:c>
      <x:c r="U30" s="8" t="n">
        <x:v>36526</x:v>
      </x:c>
      <x:c r="V30" s="8" t="n">
        <x:v>37622</x:v>
      </x:c>
      <x:c r="W30" s="8" t="n">
        <x:v>37622</x:v>
      </x:c>
      <x:c r="X30" s="8" t="n">
        <x:v>37712</x:v>
      </x:c>
      <x:c r="Y30" s="8" t="n">
        <x:v>37712</x:v>
      </x:c>
      <x:c r="Z30" s="8" t="n">
        <x:v>37987</x:v>
      </x:c>
      <x:c r="AA30" s="6" t="str">
        <x:v>[start,end)</x:v>
      </x:c>
      <x:c r="AB30" s="10" t="n">
        <x:v>40875.606</x:v>
      </x:c>
      <x:c r="AC30" s="10" t="n">
        <x:v>21981260.799</x:v>
      </x:c>
      <x:c r="AD30" s="9" t="n">
        <x:v>0.0018595660355323895</x:v>
      </x:c>
      <x:c r="AE30" s="9" t="n">
        <x:v>0.014545472910950645</x:v>
      </x:c>
      <x:c r="AF30" s="9" t="n">
        <x:v>0.8333333333333334</x:v>
      </x:c>
      <x:c r="AG30" s="6" t="str">
        <x:v>esa-ew-id-duration-v1</x:v>
      </x:c>
      <x:c r="AH30" s="6" t="str">
        <x:v>Real prepared telemetry + real annotations</x:v>
      </x:c>
      <x:c r="AI30" s="6" t="str">
        <x:v>Matched 5 epochs / 25,000 windows. Previously inspected development periods.</x:v>
      </x:c>
      <x:c r="AJ30" s="6" t="str">
        <x:v>S033</x:v>
      </x:c>
    </x:row>
    <x:row r="31" ht="43" customHeight="1">
      <x:c r="A31" s="6" t="str">
        <x:v>R030</x:v>
      </x:c>
      <x:c r="B31" s="6" t="str">
        <x:v>Augmentation paired</x:v>
      </x:c>
      <x:c r="C31" s="6" t="str">
        <x:v>Short coordinated generator</x:v>
      </x:c>
      <x:c r="D31" s="6" t="str">
        <x:v>short_coordinated_seed43_v1</x:v>
      </x:c>
      <x:c r="E31" s="6" t="n">
        <x:v>43</x:v>
      </x:c>
      <x:c r="F31" s="6" t="str">
        <x:v>40, 41, 42, 43, 44, 45, 46, 47</x:v>
      </x:c>
      <x:c r="G31" s="6" t="str">
        <x:v>2003 Apr–Dec</x:v>
      </x:c>
      <x:c r="H31" s="6" t="str">
        <x:v>system_all_channels</x:v>
      </x:c>
      <x:c r="I31" s="9" t="n">
        <x:v>0.7142857142857143</x:v>
      </x:c>
      <x:c r="J31" s="9" t="n">
        <x:v>0.9612936267899937</x:v>
      </x:c>
      <x:c r="K31" s="9" t="n">
        <x:v>0.9996690087039807</x:v>
      </x:c>
      <x:c r="L31" s="9" t="n">
        <x:v>0.8333333333333334</x:v>
      </x:c>
      <x:c r="M31" s="6" t="n">
        <x:v>5</x:v>
      </x:c>
      <x:c r="N31" s="6" t="n">
        <x:v>0</x:v>
      </x:c>
      <x:c r="O31" s="6" t="n">
        <x:v>1</x:v>
      </x:c>
      <x:c r="P31" s="6" t="n">
        <x:v>6</x:v>
      </x:c>
      <x:c r="Q31" s="6" t="n">
        <x:v>7</x:v>
      </x:c>
      <x:c r="R31" s="6" t="n">
        <x:v>1</x:v>
      </x:c>
      <x:c r="S31" s="6" t="n">
        <x:v>5</x:v>
      </x:c>
      <x:c r="T31" s="6" t="n">
        <x:v>25000</x:v>
      </x:c>
      <x:c r="U31" s="8" t="n">
        <x:v>36526</x:v>
      </x:c>
      <x:c r="V31" s="8" t="n">
        <x:v>37622</x:v>
      </x:c>
      <x:c r="W31" s="8" t="n">
        <x:v>37622</x:v>
      </x:c>
      <x:c r="X31" s="8" t="n">
        <x:v>37712</x:v>
      </x:c>
      <x:c r="Y31" s="8" t="n">
        <x:v>37712</x:v>
      </x:c>
      <x:c r="Z31" s="8" t="n">
        <x:v>37987</x:v>
      </x:c>
      <x:c r="AA31" s="6" t="str">
        <x:v>[start,end)</x:v>
      </x:c>
      <x:c r="AB31" s="10" t="n">
        <x:v>7275.606</x:v>
      </x:c>
      <x:c r="AC31" s="10" t="n">
        <x:v>21981260.799</x:v>
      </x:c>
      <x:c r="AD31" s="9" t="n">
        <x:v>0.00033099129601932287</x:v>
      </x:c>
      <x:c r="AE31" s="9" t="n">
        <x:v>0</x:v>
      </x:c>
      <x:c r="AF31" s="9" t="n">
        <x:v>0.625</x:v>
      </x:c>
      <x:c r="AG31" s="6" t="str">
        <x:v>esa-ew-id-duration-v1</x:v>
      </x:c>
      <x:c r="AH31" s="6" t="str">
        <x:v>Real prepared telemetry + real annotations</x:v>
      </x:c>
      <x:c r="AI31" s="6" t="str">
        <x:v>Matched 5 epochs / 25,000 windows. Previously inspected development periods.</x:v>
      </x:c>
      <x:c r="AJ31" s="6" t="str">
        <x:v>S033</x:v>
      </x:c>
    </x:row>
    <x:row r="32" ht="43" customHeight="1">
      <x:c r="A32" s="6" t="str">
        <x:v>R031</x:v>
      </x:c>
      <x:c r="B32" s="6" t="str">
        <x:v>Augmentation paired</x:v>
      </x:c>
      <x:c r="C32" s="6" t="str">
        <x:v>Short coordinated generator</x:v>
      </x:c>
      <x:c r="D32" s="6" t="str">
        <x:v>short_coordinated_seed43_v1</x:v>
      </x:c>
      <x:c r="E32" s="6" t="n">
        <x:v>43</x:v>
      </x:c>
      <x:c r="F32" s="6" t="str">
        <x:v>40, 41, 42, 43, 44, 45, 46, 47</x:v>
      </x:c>
      <x:c r="G32" s="6" t="str">
        <x:v>2003 Apr–Dec</x:v>
      </x:c>
      <x:c r="H32" s="6" t="str">
        <x:v>input_channels_40_47</x:v>
      </x:c>
      <x:c r="I32" s="9" t="n">
        <x:v>0.7142857142857143</x:v>
      </x:c>
      <x:c r="J32" s="9" t="n">
        <x:v>0.9612936267899937</x:v>
      </x:c>
      <x:c r="K32" s="9" t="n">
        <x:v>0.9996690087039807</x:v>
      </x:c>
      <x:c r="L32" s="9" t="n">
        <x:v>0.8333333333333334</x:v>
      </x:c>
      <x:c r="M32" s="6" t="n">
        <x:v>5</x:v>
      </x:c>
      <x:c r="N32" s="6" t="n">
        <x:v>0</x:v>
      </x:c>
      <x:c r="O32" s="6" t="n">
        <x:v>1</x:v>
      </x:c>
      <x:c r="P32" s="6" t="n">
        <x:v>6</x:v>
      </x:c>
      <x:c r="Q32" s="6" t="n">
        <x:v>7</x:v>
      </x:c>
      <x:c r="R32" s="6" t="n">
        <x:v>1</x:v>
      </x:c>
      <x:c r="S32" s="6" t="n">
        <x:v>5</x:v>
      </x:c>
      <x:c r="T32" s="6" t="n">
        <x:v>25000</x:v>
      </x:c>
      <x:c r="U32" s="8" t="n">
        <x:v>36526</x:v>
      </x:c>
      <x:c r="V32" s="8" t="n">
        <x:v>37622</x:v>
      </x:c>
      <x:c r="W32" s="8" t="n">
        <x:v>37622</x:v>
      </x:c>
      <x:c r="X32" s="8" t="n">
        <x:v>37712</x:v>
      </x:c>
      <x:c r="Y32" s="8" t="n">
        <x:v>37712</x:v>
      </x:c>
      <x:c r="Z32" s="8" t="n">
        <x:v>37987</x:v>
      </x:c>
      <x:c r="AA32" s="6" t="str">
        <x:v>[start,end)</x:v>
      </x:c>
      <x:c r="AB32" s="10" t="n">
        <x:v>7275.606</x:v>
      </x:c>
      <x:c r="AC32" s="10" t="n">
        <x:v>21981260.799</x:v>
      </x:c>
      <x:c r="AD32" s="9" t="n">
        <x:v>0.00033099129601932287</x:v>
      </x:c>
      <x:c r="AE32" s="9" t="n">
        <x:v>0</x:v>
      </x:c>
      <x:c r="AF32" s="9" t="n">
        <x:v>0.625</x:v>
      </x:c>
      <x:c r="AG32" s="6" t="str">
        <x:v>esa-ew-id-duration-v1</x:v>
      </x:c>
      <x:c r="AH32" s="6" t="str">
        <x:v>Real prepared telemetry + real annotations</x:v>
      </x:c>
      <x:c r="AI32" s="6" t="str">
        <x:v>Matched 5 epochs / 25,000 windows. Previously inspected development periods.</x:v>
      </x:c>
      <x:c r="AJ32" s="6" t="str">
        <x:v>S033</x:v>
      </x:c>
    </x:row>
    <x:row r="33" ht="43" customHeight="1">
      <x:c r="A33" s="6" t="str">
        <x:v>R032</x:v>
      </x:c>
      <x:c r="B33" s="6" t="str">
        <x:v>Augmentation paired</x:v>
      </x:c>
      <x:c r="C33" s="6" t="str">
        <x:v>Original generator</x:v>
      </x:c>
      <x:c r="D33" s="6" t="str">
        <x:v>short_coordinated_seed43_v1</x:v>
      </x:c>
      <x:c r="E33" s="6" t="n">
        <x:v>43</x:v>
      </x:c>
      <x:c r="F33" s="6" t="str">
        <x:v>40, 41, 42, 43, 44, 45, 46, 47</x:v>
      </x:c>
      <x:c r="G33" s="6" t="str">
        <x:v>2004 Apr–Dec</x:v>
      </x:c>
      <x:c r="H33" s="6" t="str">
        <x:v>system_all_channels</x:v>
      </x:c>
      <x:c r="I33" s="9" t="n">
        <x:v>0</x:v>
      </x:c>
      <x:c r="J33" s="9" t="n">
        <x:v>0.15918516391572418</x:v>
      </x:c>
      <x:c r="K33" s="9" t="n">
        <x:v>0.14246724570614944</x:v>
      </x:c>
      <x:c r="L33" s="9" t="n">
        <x:v>0.3</x:v>
      </x:c>
      <x:c r="M33" s="6" t="n">
        <x:v>3</x:v>
      </x:c>
      <x:c r="N33" s="6" t="n">
        <x:v>18</x:v>
      </x:c>
      <x:c r="O33" s="6" t="n">
        <x:v>7</x:v>
      </x:c>
      <x:c r="P33" s="6" t="n">
        <x:v>10</x:v>
      </x:c>
      <x:c r="Q33" s="6" t="n">
        <x:v>22</x:v>
      </x:c>
      <x:c r="R33" s="6" t="n">
        <x:v>1</x:v>
      </x:c>
      <x:c r="S33" s="6" t="n">
        <x:v>5</x:v>
      </x:c>
      <x:c r="T33" s="6" t="n">
        <x:v>25000</x:v>
      </x:c>
      <x:c r="U33" s="8" t="n">
        <x:v>36526</x:v>
      </x:c>
      <x:c r="V33" s="8" t="n">
        <x:v>37987</x:v>
      </x:c>
      <x:c r="W33" s="8" t="n">
        <x:v>37987</x:v>
      </x:c>
      <x:c r="X33" s="8" t="n">
        <x:v>38078</x:v>
      </x:c>
      <x:c r="Y33" s="8" t="n">
        <x:v>38078</x:v>
      </x:c>
      <x:c r="Z33" s="8" t="n">
        <x:v>38353</x:v>
      </x:c>
      <x:c r="AA33" s="6" t="str">
        <x:v>[start,end)</x:v>
      </x:c>
      <x:c r="AB33" s="10" t="n">
        <x:v>58560</x:v>
      </x:c>
      <x:c r="AC33" s="10" t="n">
        <x:v>21456207.783</x:v>
      </x:c>
      <x:c r="AD33" s="9" t="n">
        <x:v>0.002729280056953831</x:v>
      </x:c>
      <x:c r="AE33" s="9" t="n">
        <x:v>0.0654546280992779</x:v>
      </x:c>
      <x:c r="AF33" s="9" t="n">
        <x:v>0.75</x:v>
      </x:c>
      <x:c r="AG33" s="6" t="str">
        <x:v>esa-ew-id-duration-v1</x:v>
      </x:c>
      <x:c r="AH33" s="6" t="str">
        <x:v>Real prepared telemetry + real annotations</x:v>
      </x:c>
      <x:c r="AI33" s="6" t="str">
        <x:v>Matched 5 epochs / 25,000 windows. Previously inspected development periods.</x:v>
      </x:c>
      <x:c r="AJ33" s="6" t="str">
        <x:v>S033</x:v>
      </x:c>
    </x:row>
    <x:row r="34" ht="43" customHeight="1">
      <x:c r="A34" s="6" t="str">
        <x:v>R033</x:v>
      </x:c>
      <x:c r="B34" s="6" t="str">
        <x:v>Augmentation paired</x:v>
      </x:c>
      <x:c r="C34" s="6" t="str">
        <x:v>Original generator</x:v>
      </x:c>
      <x:c r="D34" s="6" t="str">
        <x:v>short_coordinated_seed43_v1</x:v>
      </x:c>
      <x:c r="E34" s="6" t="n">
        <x:v>43</x:v>
      </x:c>
      <x:c r="F34" s="6" t="str">
        <x:v>40, 41, 42, 43, 44, 45, 46, 47</x:v>
      </x:c>
      <x:c r="G34" s="6" t="str">
        <x:v>2004 Apr–Dec</x:v>
      </x:c>
      <x:c r="H34" s="6" t="str">
        <x:v>input_channels_40_47</x:v>
      </x:c>
      <x:c r="I34" s="9" t="n">
        <x:v>0</x:v>
      </x:c>
      <x:c r="J34" s="9" t="n">
        <x:v>0.16441980256002592</x:v>
      </x:c>
      <x:c r="K34" s="9" t="n">
        <x:v>0.14246724570614944</x:v>
      </x:c>
      <x:c r="L34" s="9" t="n">
        <x:v>0.42857142857142855</x:v>
      </x:c>
      <x:c r="M34" s="6" t="n">
        <x:v>3</x:v>
      </x:c>
      <x:c r="N34" s="6" t="n">
        <x:v>18</x:v>
      </x:c>
      <x:c r="O34" s="6" t="n">
        <x:v>4</x:v>
      </x:c>
      <x:c r="P34" s="6" t="n">
        <x:v>7</x:v>
      </x:c>
      <x:c r="Q34" s="6" t="n">
        <x:v>22</x:v>
      </x:c>
      <x:c r="R34" s="6" t="n">
        <x:v>1</x:v>
      </x:c>
      <x:c r="S34" s="6" t="n">
        <x:v>5</x:v>
      </x:c>
      <x:c r="T34" s="6" t="n">
        <x:v>25000</x:v>
      </x:c>
      <x:c r="U34" s="8" t="n">
        <x:v>36526</x:v>
      </x:c>
      <x:c r="V34" s="8" t="n">
        <x:v>37987</x:v>
      </x:c>
      <x:c r="W34" s="8" t="n">
        <x:v>37987</x:v>
      </x:c>
      <x:c r="X34" s="8" t="n">
        <x:v>38078</x:v>
      </x:c>
      <x:c r="Y34" s="8" t="n">
        <x:v>38078</x:v>
      </x:c>
      <x:c r="Z34" s="8" t="n">
        <x:v>38353</x:v>
      </x:c>
      <x:c r="AA34" s="6" t="str">
        <x:v>[start,end)</x:v>
      </x:c>
      <x:c r="AB34" s="10" t="n">
        <x:v>58560</x:v>
      </x:c>
      <x:c r="AC34" s="10" t="n">
        <x:v>21456207.783</x:v>
      </x:c>
      <x:c r="AD34" s="9" t="n">
        <x:v>0.002729280056953831</x:v>
      </x:c>
      <x:c r="AE34" s="9" t="n">
        <x:v>0.0654546280992779</x:v>
      </x:c>
      <x:c r="AF34" s="9" t="n">
        <x:v>0.75</x:v>
      </x:c>
      <x:c r="AG34" s="6" t="str">
        <x:v>esa-ew-id-duration-v1</x:v>
      </x:c>
      <x:c r="AH34" s="6" t="str">
        <x:v>Real prepared telemetry + real annotations</x:v>
      </x:c>
      <x:c r="AI34" s="6" t="str">
        <x:v>Matched 5 epochs / 25,000 windows. Previously inspected development periods.</x:v>
      </x:c>
      <x:c r="AJ34" s="6" t="str">
        <x:v>S033</x:v>
      </x:c>
    </x:row>
    <x:row r="35" ht="43" customHeight="1">
      <x:c r="A35" s="6" t="str">
        <x:v>R034</x:v>
      </x:c>
      <x:c r="B35" s="6" t="str">
        <x:v>Augmentation paired</x:v>
      </x:c>
      <x:c r="C35" s="6" t="str">
        <x:v>Short coordinated generator</x:v>
      </x:c>
      <x:c r="D35" s="6" t="str">
        <x:v>short_coordinated_seed43_v1</x:v>
      </x:c>
      <x:c r="E35" s="6" t="n">
        <x:v>43</x:v>
      </x:c>
      <x:c r="F35" s="6" t="str">
        <x:v>40, 41, 42, 43, 44, 45, 46, 47</x:v>
      </x:c>
      <x:c r="G35" s="6" t="str">
        <x:v>2004 Apr–Dec</x:v>
      </x:c>
      <x:c r="H35" s="6" t="str">
        <x:v>system_all_channels</x:v>
      </x:c>
      <x:c r="I35" s="9" t="n">
        <x:v>0.11004107794790863</x:v>
      </x:c>
      <x:c r="J35" s="9" t="n">
        <x:v>0.13800571332759548</x:v>
      </x:c>
      <x:c r="K35" s="9" t="n">
        <x:v>0.11572829251568006</x:v>
      </x:c>
      <x:c r="L35" s="9" t="n">
        <x:v>0.6</x:v>
      </x:c>
      <x:c r="M35" s="6" t="n">
        <x:v>6</x:v>
      </x:c>
      <x:c r="N35" s="6" t="n">
        <x:v>45</x:v>
      </x:c>
      <x:c r="O35" s="6" t="n">
        <x:v>4</x:v>
      </x:c>
      <x:c r="P35" s="6" t="n">
        <x:v>10</x:v>
      </x:c>
      <x:c r="Q35" s="6" t="n">
        <x:v>55</x:v>
      </x:c>
      <x:c r="R35" s="6" t="n">
        <x:v>5</x:v>
      </x:c>
      <x:c r="S35" s="6" t="n">
        <x:v>5</x:v>
      </x:c>
      <x:c r="T35" s="6" t="n">
        <x:v>25000</x:v>
      </x:c>
      <x:c r="U35" s="8" t="n">
        <x:v>36526</x:v>
      </x:c>
      <x:c r="V35" s="8" t="n">
        <x:v>37987</x:v>
      </x:c>
      <x:c r="W35" s="8" t="n">
        <x:v>37987</x:v>
      </x:c>
      <x:c r="X35" s="8" t="n">
        <x:v>38078</x:v>
      </x:c>
      <x:c r="Y35" s="8" t="n">
        <x:v>38078</x:v>
      </x:c>
      <x:c r="Z35" s="8" t="n">
        <x:v>38353</x:v>
      </x:c>
      <x:c r="AA35" s="6" t="str">
        <x:v>[start,end)</x:v>
      </x:c>
      <x:c r="AB35" s="10" t="n">
        <x:v>349940.313</x:v>
      </x:c>
      <x:c r="AC35" s="10" t="n">
        <x:v>21456207.783</x:v>
      </x:c>
      <x:c r="AD35" s="9" t="n">
        <x:v>0.016309513616719395</x:v>
      </x:c>
      <x:c r="AE35" s="9" t="n">
        <x:v>0.16363657024819475</x:v>
      </x:c>
      <x:c r="AF35" s="9" t="n">
        <x:v>0.5454545454545454</x:v>
      </x:c>
      <x:c r="AG35" s="6" t="str">
        <x:v>esa-ew-id-duration-v1</x:v>
      </x:c>
      <x:c r="AH35" s="6" t="str">
        <x:v>Real prepared telemetry + real annotations</x:v>
      </x:c>
      <x:c r="AI35" s="6" t="str">
        <x:v>Matched 5 epochs / 25,000 windows. Previously inspected development periods.</x:v>
      </x:c>
      <x:c r="AJ35" s="6" t="str">
        <x:v>S033</x:v>
      </x:c>
    </x:row>
    <x:row r="36" ht="43" customHeight="1">
      <x:c r="A36" s="6" t="str">
        <x:v>R035</x:v>
      </x:c>
      <x:c r="B36" s="6" t="str">
        <x:v>Augmentation paired</x:v>
      </x:c>
      <x:c r="C36" s="6" t="str">
        <x:v>Short coordinated generator</x:v>
      </x:c>
      <x:c r="D36" s="6" t="str">
        <x:v>short_coordinated_seed43_v1</x:v>
      </x:c>
      <x:c r="E36" s="6" t="n">
        <x:v>43</x:v>
      </x:c>
      <x:c r="F36" s="6" t="str">
        <x:v>40, 41, 42, 43, 44, 45, 46, 47</x:v>
      </x:c>
      <x:c r="G36" s="6" t="str">
        <x:v>2004 Apr–Dec</x:v>
      </x:c>
      <x:c r="H36" s="6" t="str">
        <x:v>input_channels_40_47</x:v>
      </x:c>
      <x:c r="I36" s="9" t="n">
        <x:v>0.11004107794790863</x:v>
      </x:c>
      <x:c r="J36" s="9" t="n">
        <x:v>0.13993692281296263</x:v>
      </x:c>
      <x:c r="K36" s="9" t="n">
        <x:v>0.11572829251568006</x:v>
      </x:c>
      <x:c r="L36" s="9" t="n">
        <x:v>0.8571428571428571</x:v>
      </x:c>
      <x:c r="M36" s="6" t="n">
        <x:v>6</x:v>
      </x:c>
      <x:c r="N36" s="6" t="n">
        <x:v>45</x:v>
      </x:c>
      <x:c r="O36" s="6" t="n">
        <x:v>1</x:v>
      </x:c>
      <x:c r="P36" s="6" t="n">
        <x:v>7</x:v>
      </x:c>
      <x:c r="Q36" s="6" t="n">
        <x:v>55</x:v>
      </x:c>
      <x:c r="R36" s="6" t="n">
        <x:v>5</x:v>
      </x:c>
      <x:c r="S36" s="6" t="n">
        <x:v>5</x:v>
      </x:c>
      <x:c r="T36" s="6" t="n">
        <x:v>25000</x:v>
      </x:c>
      <x:c r="U36" s="8" t="n">
        <x:v>36526</x:v>
      </x:c>
      <x:c r="V36" s="8" t="n">
        <x:v>37987</x:v>
      </x:c>
      <x:c r="W36" s="8" t="n">
        <x:v>37987</x:v>
      </x:c>
      <x:c r="X36" s="8" t="n">
        <x:v>38078</x:v>
      </x:c>
      <x:c r="Y36" s="8" t="n">
        <x:v>38078</x:v>
      </x:c>
      <x:c r="Z36" s="8" t="n">
        <x:v>38353</x:v>
      </x:c>
      <x:c r="AA36" s="6" t="str">
        <x:v>[start,end)</x:v>
      </x:c>
      <x:c r="AB36" s="10" t="n">
        <x:v>349940.313</x:v>
      </x:c>
      <x:c r="AC36" s="10" t="n">
        <x:v>21456207.783</x:v>
      </x:c>
      <x:c r="AD36" s="9" t="n">
        <x:v>0.016309513616719395</x:v>
      </x:c>
      <x:c r="AE36" s="9" t="n">
        <x:v>0.16363657024819475</x:v>
      </x:c>
      <x:c r="AF36" s="9" t="n">
        <x:v>0.6666666666666666</x:v>
      </x:c>
      <x:c r="AG36" s="6" t="str">
        <x:v>esa-ew-id-duration-v1</x:v>
      </x:c>
      <x:c r="AH36" s="6" t="str">
        <x:v>Real prepared telemetry + real annotations</x:v>
      </x:c>
      <x:c r="AI36" s="6" t="str">
        <x:v>Matched 5 epochs / 25,000 windows. Previously inspected development periods.</x:v>
      </x:c>
      <x:c r="AJ36" s="6" t="str">
        <x:v>S033</x:v>
      </x:c>
    </x:row>
    <x:row r="37" ht="43" customHeight="1">
      <x:c r="A37" s="6" t="str">
        <x:v>R036</x:v>
      </x:c>
      <x:c r="B37" s="6" t="str">
        <x:v>Augmentation paired</x:v>
      </x:c>
      <x:c r="C37" s="6" t="str">
        <x:v>Original generator</x:v>
      </x:c>
      <x:c r="D37" s="6" t="str">
        <x:v>short_coordinated_seed43_v1</x:v>
      </x:c>
      <x:c r="E37" s="6" t="n">
        <x:v>43</x:v>
      </x:c>
      <x:c r="F37" s="6" t="str">
        <x:v>40, 41, 42, 43, 44, 45, 46, 47</x:v>
      </x:c>
      <x:c r="G37" s="6" t="str">
        <x:v>2005 Apr–Dec</x:v>
      </x:c>
      <x:c r="H37" s="6" t="str">
        <x:v>system_all_channels</x:v>
      </x:c>
      <x:c r="I37" s="9" t="n">
        <x:v>0.8328804736937059</x:v>
      </x:c>
      <x:c r="J37" s="9" t="n">
        <x:v>0.8691157005942426</x:v>
      </x:c>
      <x:c r="K37" s="9" t="n">
        <x:v>0.9992570605703706</x:v>
      </x:c>
      <x:c r="L37" s="9" t="n">
        <x:v>0.5714285714285714</x:v>
      </x:c>
      <x:c r="M37" s="6" t="n">
        <x:v>4</x:v>
      </x:c>
      <x:c r="N37" s="6" t="n">
        <x:v>0</x:v>
      </x:c>
      <x:c r="O37" s="6" t="n">
        <x:v>3</x:v>
      </x:c>
      <x:c r="P37" s="6" t="n">
        <x:v>7</x:v>
      </x:c>
      <x:c r="Q37" s="6" t="n">
        <x:v>4</x:v>
      </x:c>
      <x:c r="R37" s="6" t="n">
        <x:v>2</x:v>
      </x:c>
      <x:c r="S37" s="6" t="n">
        <x:v>5</x:v>
      </x:c>
      <x:c r="T37" s="6" t="n">
        <x:v>25000</x:v>
      </x:c>
      <x:c r="U37" s="8" t="n">
        <x:v>36526</x:v>
      </x:c>
      <x:c r="V37" s="8" t="n">
        <x:v>38353</x:v>
      </x:c>
      <x:c r="W37" s="8" t="n">
        <x:v>38353</x:v>
      </x:c>
      <x:c r="X37" s="8" t="n">
        <x:v>38443</x:v>
      </x:c>
      <x:c r="Y37" s="8" t="n">
        <x:v>38443</x:v>
      </x:c>
      <x:c r="Z37" s="8" t="n">
        <x:v>38718</x:v>
      </x:c>
      <x:c r="AA37" s="6" t="str">
        <x:v>[start,end)</x:v>
      </x:c>
      <x:c r="AB37" s="10" t="n">
        <x:v>14264.184</x:v>
      </x:c>
      <x:c r="AC37" s="10" t="n">
        <x:v>19199659.395</x:v>
      </x:c>
      <x:c r="AD37" s="9" t="n">
        <x:v>0.0007429394296294412</x:v>
      </x:c>
      <x:c r="AE37" s="9" t="n">
        <x:v>0</x:v>
      </x:c>
      <x:c r="AF37" s="9" t="n">
        <x:v>1</x:v>
      </x:c>
      <x:c r="AG37" s="6" t="str">
        <x:v>esa-ew-id-duration-v1</x:v>
      </x:c>
      <x:c r="AH37" s="6" t="str">
        <x:v>Real prepared telemetry + real annotations</x:v>
      </x:c>
      <x:c r="AI37" s="6" t="str">
        <x:v>Matched 5 epochs / 25,000 windows. Previously inspected development periods.</x:v>
      </x:c>
      <x:c r="AJ37" s="6" t="str">
        <x:v>S033</x:v>
      </x:c>
    </x:row>
    <x:row r="38" ht="43" customHeight="1">
      <x:c r="A38" s="6" t="str">
        <x:v>R037</x:v>
      </x:c>
      <x:c r="B38" s="6" t="str">
        <x:v>Augmentation paired</x:v>
      </x:c>
      <x:c r="C38" s="6" t="str">
        <x:v>Original generator</x:v>
      </x:c>
      <x:c r="D38" s="6" t="str">
        <x:v>short_coordinated_seed43_v1</x:v>
      </x:c>
      <x:c r="E38" s="6" t="n">
        <x:v>43</x:v>
      </x:c>
      <x:c r="F38" s="6" t="str">
        <x:v>40, 41, 42, 43, 44, 45, 46, 47</x:v>
      </x:c>
      <x:c r="G38" s="6" t="str">
        <x:v>2005 Apr–Dec</x:v>
      </x:c>
      <x:c r="H38" s="6" t="str">
        <x:v>input_channels_40_47</x:v>
      </x:c>
      <x:c r="I38" s="9" t="n">
        <x:v>0.8328804736937059</x:v>
      </x:c>
      <x:c r="J38" s="9" t="n">
        <x:v>0.8691157005942426</x:v>
      </x:c>
      <x:c r="K38" s="9" t="n">
        <x:v>0.9992570605703706</x:v>
      </x:c>
      <x:c r="L38" s="9" t="n">
        <x:v>0.5714285714285714</x:v>
      </x:c>
      <x:c r="M38" s="6" t="n">
        <x:v>4</x:v>
      </x:c>
      <x:c r="N38" s="6" t="n">
        <x:v>0</x:v>
      </x:c>
      <x:c r="O38" s="6" t="n">
        <x:v>3</x:v>
      </x:c>
      <x:c r="P38" s="6" t="n">
        <x:v>7</x:v>
      </x:c>
      <x:c r="Q38" s="6" t="n">
        <x:v>4</x:v>
      </x:c>
      <x:c r="R38" s="6" t="n">
        <x:v>2</x:v>
      </x:c>
      <x:c r="S38" s="6" t="n">
        <x:v>5</x:v>
      </x:c>
      <x:c r="T38" s="6" t="n">
        <x:v>25000</x:v>
      </x:c>
      <x:c r="U38" s="8" t="n">
        <x:v>36526</x:v>
      </x:c>
      <x:c r="V38" s="8" t="n">
        <x:v>38353</x:v>
      </x:c>
      <x:c r="W38" s="8" t="n">
        <x:v>38353</x:v>
      </x:c>
      <x:c r="X38" s="8" t="n">
        <x:v>38443</x:v>
      </x:c>
      <x:c r="Y38" s="8" t="n">
        <x:v>38443</x:v>
      </x:c>
      <x:c r="Z38" s="8" t="n">
        <x:v>38718</x:v>
      </x:c>
      <x:c r="AA38" s="6" t="str">
        <x:v>[start,end)</x:v>
      </x:c>
      <x:c r="AB38" s="10" t="n">
        <x:v>14264.184</x:v>
      </x:c>
      <x:c r="AC38" s="10" t="n">
        <x:v>19199659.395</x:v>
      </x:c>
      <x:c r="AD38" s="9" t="n">
        <x:v>0.0007429394296294412</x:v>
      </x:c>
      <x:c r="AE38" s="9" t="n">
        <x:v>0</x:v>
      </x:c>
      <x:c r="AF38" s="9" t="n">
        <x:v>1</x:v>
      </x:c>
      <x:c r="AG38" s="6" t="str">
        <x:v>esa-ew-id-duration-v1</x:v>
      </x:c>
      <x:c r="AH38" s="6" t="str">
        <x:v>Real prepared telemetry + real annotations</x:v>
      </x:c>
      <x:c r="AI38" s="6" t="str">
        <x:v>Matched 5 epochs / 25,000 windows. Previously inspected development periods.</x:v>
      </x:c>
      <x:c r="AJ38" s="6" t="str">
        <x:v>S033</x:v>
      </x:c>
    </x:row>
    <x:row r="39" ht="43" customHeight="1">
      <x:c r="A39" s="6" t="str">
        <x:v>R038</x:v>
      </x:c>
      <x:c r="B39" s="6" t="str">
        <x:v>Augmentation paired</x:v>
      </x:c>
      <x:c r="C39" s="6" t="str">
        <x:v>Short coordinated generator</x:v>
      </x:c>
      <x:c r="D39" s="6" t="str">
        <x:v>short_coordinated_seed43_v1</x:v>
      </x:c>
      <x:c r="E39" s="6" t="n">
        <x:v>43</x:v>
      </x:c>
      <x:c r="F39" s="6" t="str">
        <x:v>40, 41, 42, 43, 44, 45, 46, 47</x:v>
      </x:c>
      <x:c r="G39" s="6" t="str">
        <x:v>2005 Apr–Dec</x:v>
      </x:c>
      <x:c r="H39" s="6" t="str">
        <x:v>system_all_channels</x:v>
      </x:c>
      <x:c r="I39" s="9" t="n">
        <x:v>0.8328804736937059</x:v>
      </x:c>
      <x:c r="J39" s="9" t="n">
        <x:v>0.8691157005942426</x:v>
      </x:c>
      <x:c r="K39" s="9" t="n">
        <x:v>0.9992570605703706</x:v>
      </x:c>
      <x:c r="L39" s="9" t="n">
        <x:v>0.5714285714285714</x:v>
      </x:c>
      <x:c r="M39" s="6" t="n">
        <x:v>4</x:v>
      </x:c>
      <x:c r="N39" s="6" t="n">
        <x:v>0</x:v>
      </x:c>
      <x:c r="O39" s="6" t="n">
        <x:v>3</x:v>
      </x:c>
      <x:c r="P39" s="6" t="n">
        <x:v>7</x:v>
      </x:c>
      <x:c r="Q39" s="6" t="n">
        <x:v>4</x:v>
      </x:c>
      <x:c r="R39" s="6" t="n">
        <x:v>1</x:v>
      </x:c>
      <x:c r="S39" s="6" t="n">
        <x:v>5</x:v>
      </x:c>
      <x:c r="T39" s="6" t="n">
        <x:v>25000</x:v>
      </x:c>
      <x:c r="U39" s="8" t="n">
        <x:v>36526</x:v>
      </x:c>
      <x:c r="V39" s="8" t="n">
        <x:v>38353</x:v>
      </x:c>
      <x:c r="W39" s="8" t="n">
        <x:v>38353</x:v>
      </x:c>
      <x:c r="X39" s="8" t="n">
        <x:v>38443</x:v>
      </x:c>
      <x:c r="Y39" s="8" t="n">
        <x:v>38443</x:v>
      </x:c>
      <x:c r="Z39" s="8" t="n">
        <x:v>38718</x:v>
      </x:c>
      <x:c r="AA39" s="6" t="str">
        <x:v>[start,end)</x:v>
      </x:c>
      <x:c r="AB39" s="10" t="n">
        <x:v>14264.184</x:v>
      </x:c>
      <x:c r="AC39" s="10" t="n">
        <x:v>19199659.395</x:v>
      </x:c>
      <x:c r="AD39" s="9" t="n">
        <x:v>0.0007429394296294412</x:v>
      </x:c>
      <x:c r="AE39" s="9" t="n">
        <x:v>0</x:v>
      </x:c>
      <x:c r="AF39" s="9" t="n">
        <x:v>1</x:v>
      </x:c>
      <x:c r="AG39" s="6" t="str">
        <x:v>esa-ew-id-duration-v1</x:v>
      </x:c>
      <x:c r="AH39" s="6" t="str">
        <x:v>Real prepared telemetry + real annotations</x:v>
      </x:c>
      <x:c r="AI39" s="6" t="str">
        <x:v>Matched 5 epochs / 25,000 windows. Previously inspected development periods.</x:v>
      </x:c>
      <x:c r="AJ39" s="6" t="str">
        <x:v>S033</x:v>
      </x:c>
    </x:row>
    <x:row r="40" ht="43" customHeight="1">
      <x:c r="A40" s="6" t="str">
        <x:v>R039</x:v>
      </x:c>
      <x:c r="B40" s="6" t="str">
        <x:v>Augmentation paired</x:v>
      </x:c>
      <x:c r="C40" s="6" t="str">
        <x:v>Short coordinated generator</x:v>
      </x:c>
      <x:c r="D40" s="6" t="str">
        <x:v>short_coordinated_seed43_v1</x:v>
      </x:c>
      <x:c r="E40" s="6" t="n">
        <x:v>43</x:v>
      </x:c>
      <x:c r="F40" s="6" t="str">
        <x:v>40, 41, 42, 43, 44, 45, 46, 47</x:v>
      </x:c>
      <x:c r="G40" s="6" t="str">
        <x:v>2005 Apr–Dec</x:v>
      </x:c>
      <x:c r="H40" s="6" t="str">
        <x:v>input_channels_40_47</x:v>
      </x:c>
      <x:c r="I40" s="9" t="n">
        <x:v>0.8328804736937059</x:v>
      </x:c>
      <x:c r="J40" s="9" t="n">
        <x:v>0.8691157005942426</x:v>
      </x:c>
      <x:c r="K40" s="9" t="n">
        <x:v>0.9992570605703706</x:v>
      </x:c>
      <x:c r="L40" s="9" t="n">
        <x:v>0.5714285714285714</x:v>
      </x:c>
      <x:c r="M40" s="6" t="n">
        <x:v>4</x:v>
      </x:c>
      <x:c r="N40" s="6" t="n">
        <x:v>0</x:v>
      </x:c>
      <x:c r="O40" s="6" t="n">
        <x:v>3</x:v>
      </x:c>
      <x:c r="P40" s="6" t="n">
        <x:v>7</x:v>
      </x:c>
      <x:c r="Q40" s="6" t="n">
        <x:v>4</x:v>
      </x:c>
      <x:c r="R40" s="6" t="n">
        <x:v>1</x:v>
      </x:c>
      <x:c r="S40" s="6" t="n">
        <x:v>5</x:v>
      </x:c>
      <x:c r="T40" s="6" t="n">
        <x:v>25000</x:v>
      </x:c>
      <x:c r="U40" s="8" t="n">
        <x:v>36526</x:v>
      </x:c>
      <x:c r="V40" s="8" t="n">
        <x:v>38353</x:v>
      </x:c>
      <x:c r="W40" s="8" t="n">
        <x:v>38353</x:v>
      </x:c>
      <x:c r="X40" s="8" t="n">
        <x:v>38443</x:v>
      </x:c>
      <x:c r="Y40" s="8" t="n">
        <x:v>38443</x:v>
      </x:c>
      <x:c r="Z40" s="8" t="n">
        <x:v>38718</x:v>
      </x:c>
      <x:c r="AA40" s="6" t="str">
        <x:v>[start,end)</x:v>
      </x:c>
      <x:c r="AB40" s="10" t="n">
        <x:v>14264.184</x:v>
      </x:c>
      <x:c r="AC40" s="10" t="n">
        <x:v>19199659.395</x:v>
      </x:c>
      <x:c r="AD40" s="9" t="n">
        <x:v>0.0007429394296294412</x:v>
      </x:c>
      <x:c r="AE40" s="9" t="n">
        <x:v>0</x:v>
      </x:c>
      <x:c r="AF40" s="9" t="n">
        <x:v>1</x:v>
      </x:c>
      <x:c r="AG40" s="6" t="str">
        <x:v>esa-ew-id-duration-v1</x:v>
      </x:c>
      <x:c r="AH40" s="6" t="str">
        <x:v>Real prepared telemetry + real annotations</x:v>
      </x:c>
      <x:c r="AI40" s="6" t="str">
        <x:v>Matched 5 epochs / 25,000 windows. Previously inspected development periods.</x:v>
      </x:c>
      <x:c r="AJ40" s="6" t="str">
        <x:v>S033</x:v>
      </x:c>
    </x:row>
    <x:row r="41" ht="43" customHeight="1">
      <x:c r="A41" s="6" t="str">
        <x:v>R040</x:v>
      </x:c>
      <x:c r="B41" s="6" t="str">
        <x:v>Augmentation paired</x:v>
      </x:c>
      <x:c r="C41" s="6" t="str">
        <x:v>Original generator</x:v>
      </x:c>
      <x:c r="D41" s="6" t="str">
        <x:v>short_coordinated_seed44_v1</x:v>
      </x:c>
      <x:c r="E41" s="6" t="n">
        <x:v>44</x:v>
      </x:c>
      <x:c r="F41" s="6" t="str">
        <x:v>40, 41, 42, 43, 44, 45, 46, 47</x:v>
      </x:c>
      <x:c r="G41" s="6" t="str">
        <x:v>2003 Apr–Dec</x:v>
      </x:c>
      <x:c r="H41" s="6" t="str">
        <x:v>system_all_channels</x:v>
      </x:c>
      <x:c r="I41" s="9" t="n">
        <x:v>0.7142857142857143</x:v>
      </x:c>
      <x:c r="J41" s="9" t="n">
        <x:v>0.8329659978201107</x:v>
      </x:c>
      <x:c r="K41" s="9" t="n">
        <x:v>0.8328742145369966</x:v>
      </x:c>
      <x:c r="L41" s="9" t="n">
        <x:v>0.8333333333333334</x:v>
      </x:c>
      <x:c r="M41" s="6" t="n">
        <x:v>5</x:v>
      </x:c>
      <x:c r="N41" s="6" t="n">
        <x:v>1</x:v>
      </x:c>
      <x:c r="O41" s="6" t="n">
        <x:v>1</x:v>
      </x:c>
      <x:c r="P41" s="6" t="n">
        <x:v>6</x:v>
      </x:c>
      <x:c r="Q41" s="6" t="n">
        <x:v>9</x:v>
      </x:c>
      <x:c r="R41" s="6" t="n">
        <x:v>1</x:v>
      </x:c>
      <x:c r="S41" s="6" t="n">
        <x:v>5</x:v>
      </x:c>
      <x:c r="T41" s="6" t="n">
        <x:v>25000</x:v>
      </x:c>
      <x:c r="U41" s="8" t="n">
        <x:v>36526</x:v>
      </x:c>
      <x:c r="V41" s="8" t="n">
        <x:v>37622</x:v>
      </x:c>
      <x:c r="W41" s="8" t="n">
        <x:v>37622</x:v>
      </x:c>
      <x:c r="X41" s="8" t="n">
        <x:v>37712</x:v>
      </x:c>
      <x:c r="Y41" s="8" t="n">
        <x:v>37712</x:v>
      </x:c>
      <x:c r="Z41" s="8" t="n">
        <x:v>37987</x:v>
      </x:c>
      <x:c r="AA41" s="6" t="str">
        <x:v>[start,end)</x:v>
      </x:c>
      <x:c r="AB41" s="10" t="n">
        <x:v>12110.412</x:v>
      </x:c>
      <x:c r="AC41" s="10" t="n">
        <x:v>21981260.799</x:v>
      </x:c>
      <x:c r="AD41" s="9" t="n">
        <x:v>0.0005509425556040615</x:v>
      </x:c>
      <x:c r="AE41" s="9" t="n">
        <x:v>0.0036363682277376613</x:v>
      </x:c>
      <x:c r="AF41" s="9" t="n">
        <x:v>0.5555555555555556</x:v>
      </x:c>
      <x:c r="AG41" s="6" t="str">
        <x:v>esa-ew-id-duration-v1</x:v>
      </x:c>
      <x:c r="AH41" s="6" t="str">
        <x:v>Real prepared telemetry + real annotations</x:v>
      </x:c>
      <x:c r="AI41" s="6" t="str">
        <x:v>Matched 5 epochs / 25,000 windows. Previously inspected development periods.</x:v>
      </x:c>
      <x:c r="AJ41" s="6" t="str">
        <x:v>S041</x:v>
      </x:c>
    </x:row>
    <x:row r="42" ht="43" customHeight="1">
      <x:c r="A42" s="6" t="str">
        <x:v>R041</x:v>
      </x:c>
      <x:c r="B42" s="6" t="str">
        <x:v>Augmentation paired</x:v>
      </x:c>
      <x:c r="C42" s="6" t="str">
        <x:v>Original generator</x:v>
      </x:c>
      <x:c r="D42" s="6" t="str">
        <x:v>short_coordinated_seed44_v1</x:v>
      </x:c>
      <x:c r="E42" s="6" t="n">
        <x:v>44</x:v>
      </x:c>
      <x:c r="F42" s="6" t="str">
        <x:v>40, 41, 42, 43, 44, 45, 46, 47</x:v>
      </x:c>
      <x:c r="G42" s="6" t="str">
        <x:v>2003 Apr–Dec</x:v>
      </x:c>
      <x:c r="H42" s="6" t="str">
        <x:v>input_channels_40_47</x:v>
      </x:c>
      <x:c r="I42" s="9" t="n">
        <x:v>0.7142857142857143</x:v>
      </x:c>
      <x:c r="J42" s="9" t="n">
        <x:v>0.8329659978201107</x:v>
      </x:c>
      <x:c r="K42" s="9" t="n">
        <x:v>0.8328742145369966</x:v>
      </x:c>
      <x:c r="L42" s="9" t="n">
        <x:v>0.8333333333333334</x:v>
      </x:c>
      <x:c r="M42" s="6" t="n">
        <x:v>5</x:v>
      </x:c>
      <x:c r="N42" s="6" t="n">
        <x:v>1</x:v>
      </x:c>
      <x:c r="O42" s="6" t="n">
        <x:v>1</x:v>
      </x:c>
      <x:c r="P42" s="6" t="n">
        <x:v>6</x:v>
      </x:c>
      <x:c r="Q42" s="6" t="n">
        <x:v>9</x:v>
      </x:c>
      <x:c r="R42" s="6" t="n">
        <x:v>1</x:v>
      </x:c>
      <x:c r="S42" s="6" t="n">
        <x:v>5</x:v>
      </x:c>
      <x:c r="T42" s="6" t="n">
        <x:v>25000</x:v>
      </x:c>
      <x:c r="U42" s="8" t="n">
        <x:v>36526</x:v>
      </x:c>
      <x:c r="V42" s="8" t="n">
        <x:v>37622</x:v>
      </x:c>
      <x:c r="W42" s="8" t="n">
        <x:v>37622</x:v>
      </x:c>
      <x:c r="X42" s="8" t="n">
        <x:v>37712</x:v>
      </x:c>
      <x:c r="Y42" s="8" t="n">
        <x:v>37712</x:v>
      </x:c>
      <x:c r="Z42" s="8" t="n">
        <x:v>37987</x:v>
      </x:c>
      <x:c r="AA42" s="6" t="str">
        <x:v>[start,end)</x:v>
      </x:c>
      <x:c r="AB42" s="10" t="n">
        <x:v>12110.412</x:v>
      </x:c>
      <x:c r="AC42" s="10" t="n">
        <x:v>21981260.799</x:v>
      </x:c>
      <x:c r="AD42" s="9" t="n">
        <x:v>0.0005509425556040615</x:v>
      </x:c>
      <x:c r="AE42" s="9" t="n">
        <x:v>0.0036363682277376613</x:v>
      </x:c>
      <x:c r="AF42" s="9" t="n">
        <x:v>0.5555555555555556</x:v>
      </x:c>
      <x:c r="AG42" s="6" t="str">
        <x:v>esa-ew-id-duration-v1</x:v>
      </x:c>
      <x:c r="AH42" s="6" t="str">
        <x:v>Real prepared telemetry + real annotations</x:v>
      </x:c>
      <x:c r="AI42" s="6" t="str">
        <x:v>Matched 5 epochs / 25,000 windows. Previously inspected development periods.</x:v>
      </x:c>
      <x:c r="AJ42" s="6" t="str">
        <x:v>S041</x:v>
      </x:c>
    </x:row>
    <x:row r="43" ht="43" customHeight="1">
      <x:c r="A43" s="6" t="str">
        <x:v>R042</x:v>
      </x:c>
      <x:c r="B43" s="6" t="str">
        <x:v>Augmentation paired</x:v>
      </x:c>
      <x:c r="C43" s="6" t="str">
        <x:v>Short coordinated generator</x:v>
      </x:c>
      <x:c r="D43" s="6" t="str">
        <x:v>short_coordinated_seed44_v1</x:v>
      </x:c>
      <x:c r="E43" s="6" t="n">
        <x:v>44</x:v>
      </x:c>
      <x:c r="F43" s="6" t="str">
        <x:v>40, 41, 42, 43, 44, 45, 46, 47</x:v>
      </x:c>
      <x:c r="G43" s="6" t="str">
        <x:v>2003 Apr–Dec</x:v>
      </x:c>
      <x:c r="H43" s="6" t="str">
        <x:v>system_all_channels</x:v>
      </x:c>
      <x:c r="I43" s="9" t="n">
        <x:v>0.7142857142857143</x:v>
      </x:c>
      <x:c r="J43" s="9" t="n">
        <x:v>0.833297938494237</x:v>
      </x:c>
      <x:c r="K43" s="9" t="n">
        <x:v>0.9999362906426158</x:v>
      </x:c>
      <x:c r="L43" s="9" t="n">
        <x:v>0.5</x:v>
      </x:c>
      <x:c r="M43" s="6" t="n">
        <x:v>3</x:v>
      </x:c>
      <x:c r="N43" s="6" t="n">
        <x:v>0</x:v>
      </x:c>
      <x:c r="O43" s="6" t="n">
        <x:v>3</x:v>
      </x:c>
      <x:c r="P43" s="6" t="n">
        <x:v>6</x:v>
      </x:c>
      <x:c r="Q43" s="6" t="n">
        <x:v>3</x:v>
      </x:c>
      <x:c r="R43" s="6" t="n">
        <x:v>1</x:v>
      </x:c>
      <x:c r="S43" s="6" t="n">
        <x:v>5</x:v>
      </x:c>
      <x:c r="T43" s="6" t="n">
        <x:v>25000</x:v>
      </x:c>
      <x:c r="U43" s="8" t="n">
        <x:v>36526</x:v>
      </x:c>
      <x:c r="V43" s="8" t="n">
        <x:v>37622</x:v>
      </x:c>
      <x:c r="W43" s="8" t="n">
        <x:v>37622</x:v>
      </x:c>
      <x:c r="X43" s="8" t="n">
        <x:v>37712</x:v>
      </x:c>
      <x:c r="Y43" s="8" t="n">
        <x:v>37712</x:v>
      </x:c>
      <x:c r="Z43" s="8" t="n">
        <x:v>37987</x:v>
      </x:c>
      <x:c r="AA43" s="6" t="str">
        <x:v>[start,end)</x:v>
      </x:c>
      <x:c r="AB43" s="10" t="n">
        <x:v>1400.412</x:v>
      </x:c>
      <x:c r="AC43" s="10" t="n">
        <x:v>21981260.799</x:v>
      </x:c>
      <x:c r="AD43" s="9" t="n">
        <x:v>0.0000637093573842007</x:v>
      </x:c>
      <x:c r="AE43" s="9" t="n">
        <x:v>0</x:v>
      </x:c>
      <x:c r="AF43" s="9" t="n">
        <x:v>1</x:v>
      </x:c>
      <x:c r="AG43" s="6" t="str">
        <x:v>esa-ew-id-duration-v1</x:v>
      </x:c>
      <x:c r="AH43" s="6" t="str">
        <x:v>Real prepared telemetry + real annotations</x:v>
      </x:c>
      <x:c r="AI43" s="6" t="str">
        <x:v>Matched 5 epochs / 25,000 windows. Previously inspected development periods.</x:v>
      </x:c>
      <x:c r="AJ43" s="6" t="str">
        <x:v>S041</x:v>
      </x:c>
    </x:row>
    <x:row r="44" ht="43" customHeight="1">
      <x:c r="A44" s="6" t="str">
        <x:v>R043</x:v>
      </x:c>
      <x:c r="B44" s="6" t="str">
        <x:v>Augmentation paired</x:v>
      </x:c>
      <x:c r="C44" s="6" t="str">
        <x:v>Short coordinated generator</x:v>
      </x:c>
      <x:c r="D44" s="6" t="str">
        <x:v>short_coordinated_seed44_v1</x:v>
      </x:c>
      <x:c r="E44" s="6" t="n">
        <x:v>44</x:v>
      </x:c>
      <x:c r="F44" s="6" t="str">
        <x:v>40, 41, 42, 43, 44, 45, 46, 47</x:v>
      </x:c>
      <x:c r="G44" s="6" t="str">
        <x:v>2003 Apr–Dec</x:v>
      </x:c>
      <x:c r="H44" s="6" t="str">
        <x:v>input_channels_40_47</x:v>
      </x:c>
      <x:c r="I44" s="9" t="n">
        <x:v>0.7142857142857143</x:v>
      </x:c>
      <x:c r="J44" s="9" t="n">
        <x:v>0.833297938494237</x:v>
      </x:c>
      <x:c r="K44" s="9" t="n">
        <x:v>0.9999362906426158</x:v>
      </x:c>
      <x:c r="L44" s="9" t="n">
        <x:v>0.5</x:v>
      </x:c>
      <x:c r="M44" s="6" t="n">
        <x:v>3</x:v>
      </x:c>
      <x:c r="N44" s="6" t="n">
        <x:v>0</x:v>
      </x:c>
      <x:c r="O44" s="6" t="n">
        <x:v>3</x:v>
      </x:c>
      <x:c r="P44" s="6" t="n">
        <x:v>6</x:v>
      </x:c>
      <x:c r="Q44" s="6" t="n">
        <x:v>3</x:v>
      </x:c>
      <x:c r="R44" s="6" t="n">
        <x:v>1</x:v>
      </x:c>
      <x:c r="S44" s="6" t="n">
        <x:v>5</x:v>
      </x:c>
      <x:c r="T44" s="6" t="n">
        <x:v>25000</x:v>
      </x:c>
      <x:c r="U44" s="8" t="n">
        <x:v>36526</x:v>
      </x:c>
      <x:c r="V44" s="8" t="n">
        <x:v>37622</x:v>
      </x:c>
      <x:c r="W44" s="8" t="n">
        <x:v>37622</x:v>
      </x:c>
      <x:c r="X44" s="8" t="n">
        <x:v>37712</x:v>
      </x:c>
      <x:c r="Y44" s="8" t="n">
        <x:v>37712</x:v>
      </x:c>
      <x:c r="Z44" s="8" t="n">
        <x:v>37987</x:v>
      </x:c>
      <x:c r="AA44" s="6" t="str">
        <x:v>[start,end)</x:v>
      </x:c>
      <x:c r="AB44" s="10" t="n">
        <x:v>1400.412</x:v>
      </x:c>
      <x:c r="AC44" s="10" t="n">
        <x:v>21981260.799</x:v>
      </x:c>
      <x:c r="AD44" s="9" t="n">
        <x:v>0.0000637093573842007</x:v>
      </x:c>
      <x:c r="AE44" s="9" t="n">
        <x:v>0</x:v>
      </x:c>
      <x:c r="AF44" s="9" t="n">
        <x:v>1</x:v>
      </x:c>
      <x:c r="AG44" s="6" t="str">
        <x:v>esa-ew-id-duration-v1</x:v>
      </x:c>
      <x:c r="AH44" s="6" t="str">
        <x:v>Real prepared telemetry + real annotations</x:v>
      </x:c>
      <x:c r="AI44" s="6" t="str">
        <x:v>Matched 5 epochs / 25,000 windows. Previously inspected development periods.</x:v>
      </x:c>
      <x:c r="AJ44" s="6" t="str">
        <x:v>S041</x:v>
      </x:c>
    </x:row>
    <x:row r="45" ht="43" customHeight="1">
      <x:c r="A45" s="6" t="str">
        <x:v>R044</x:v>
      </x:c>
      <x:c r="B45" s="6" t="str">
        <x:v>Augmentation paired</x:v>
      </x:c>
      <x:c r="C45" s="6" t="str">
        <x:v>Original generator</x:v>
      </x:c>
      <x:c r="D45" s="6" t="str">
        <x:v>short_coordinated_seed44_v1</x:v>
      </x:c>
      <x:c r="E45" s="6" t="n">
        <x:v>44</x:v>
      </x:c>
      <x:c r="F45" s="6" t="str">
        <x:v>40, 41, 42, 43, 44, 45, 46, 47</x:v>
      </x:c>
      <x:c r="G45" s="6" t="str">
        <x:v>2004 Apr–Dec</x:v>
      </x:c>
      <x:c r="H45" s="6" t="str">
        <x:v>system_all_channels</x:v>
      </x:c>
      <x:c r="I45" s="9" t="n">
        <x:v>0.5547011292137558</x:v>
      </x:c>
      <x:c r="J45" s="9" t="n">
        <x:v>0.8328479578590294</x:v>
      </x:c>
      <x:c r="K45" s="9" t="n">
        <x:v>0.9991265785086754</x:v>
      </x:c>
      <x:c r="L45" s="9" t="n">
        <x:v>0.5</x:v>
      </x:c>
      <x:c r="M45" s="6" t="n">
        <x:v>5</x:v>
      </x:c>
      <x:c r="N45" s="6" t="n">
        <x:v>0</x:v>
      </x:c>
      <x:c r="O45" s="6" t="n">
        <x:v>5</x:v>
      </x:c>
      <x:c r="P45" s="6" t="n">
        <x:v>10</x:v>
      </x:c>
      <x:c r="Q45" s="6" t="n">
        <x:v>8</x:v>
      </x:c>
      <x:c r="R45" s="6" t="n">
        <x:v>4</x:v>
      </x:c>
      <x:c r="S45" s="6" t="n">
        <x:v>5</x:v>
      </x:c>
      <x:c r="T45" s="6" t="n">
        <x:v>25000</x:v>
      </x:c>
      <x:c r="U45" s="8" t="n">
        <x:v>36526</x:v>
      </x:c>
      <x:c r="V45" s="8" t="n">
        <x:v>37987</x:v>
      </x:c>
      <x:c r="W45" s="8" t="n">
        <x:v>37987</x:v>
      </x:c>
      <x:c r="X45" s="8" t="n">
        <x:v>38078</x:v>
      </x:c>
      <x:c r="Y45" s="8" t="n">
        <x:v>38078</x:v>
      </x:c>
      <x:c r="Z45" s="8" t="n">
        <x:v>38353</x:v>
      </x:c>
      <x:c r="AA45" s="6" t="str">
        <x:v>[start,end)</x:v>
      </x:c>
      <x:c r="AB45" s="10" t="n">
        <x:v>18740.313</x:v>
      </x:c>
      <x:c r="AC45" s="10" t="n">
        <x:v>21456207.783</x:v>
      </x:c>
      <x:c r="AD45" s="9" t="n">
        <x:v>0.000873421491324633</x:v>
      </x:c>
      <x:c r="AE45" s="9" t="n">
        <x:v>0</x:v>
      </x:c>
      <x:c r="AF45" s="9" t="n">
        <x:v>0.625</x:v>
      </x:c>
      <x:c r="AG45" s="6" t="str">
        <x:v>esa-ew-id-duration-v1</x:v>
      </x:c>
      <x:c r="AH45" s="6" t="str">
        <x:v>Real prepared telemetry + real annotations</x:v>
      </x:c>
      <x:c r="AI45" s="6" t="str">
        <x:v>Matched 5 epochs / 25,000 windows. Previously inspected development periods.</x:v>
      </x:c>
      <x:c r="AJ45" s="6" t="str">
        <x:v>S041</x:v>
      </x:c>
    </x:row>
    <x:row r="46" ht="43" customHeight="1">
      <x:c r="A46" s="6" t="str">
        <x:v>R045</x:v>
      </x:c>
      <x:c r="B46" s="6" t="str">
        <x:v>Augmentation paired</x:v>
      </x:c>
      <x:c r="C46" s="6" t="str">
        <x:v>Original generator</x:v>
      </x:c>
      <x:c r="D46" s="6" t="str">
        <x:v>short_coordinated_seed44_v1</x:v>
      </x:c>
      <x:c r="E46" s="6" t="n">
        <x:v>44</x:v>
      </x:c>
      <x:c r="F46" s="6" t="str">
        <x:v>40, 41, 42, 43, 44, 45, 46, 47</x:v>
      </x:c>
      <x:c r="G46" s="6" t="str">
        <x:v>2004 Apr–Dec</x:v>
      </x:c>
      <x:c r="H46" s="6" t="str">
        <x:v>input_channels_40_47</x:v>
      </x:c>
      <x:c r="I46" s="9" t="n">
        <x:v>0.5547011292137558</x:v>
      </x:c>
      <x:c r="J46" s="9" t="n">
        <x:v>0.9253267357229342</x:v>
      </x:c>
      <x:c r="K46" s="9" t="n">
        <x:v>0.9991265785086754</x:v>
      </x:c>
      <x:c r="L46" s="9" t="n">
        <x:v>0.7142857142857143</x:v>
      </x:c>
      <x:c r="M46" s="6" t="n">
        <x:v>5</x:v>
      </x:c>
      <x:c r="N46" s="6" t="n">
        <x:v>0</x:v>
      </x:c>
      <x:c r="O46" s="6" t="n">
        <x:v>2</x:v>
      </x:c>
      <x:c r="P46" s="6" t="n">
        <x:v>7</x:v>
      </x:c>
      <x:c r="Q46" s="6" t="n">
        <x:v>8</x:v>
      </x:c>
      <x:c r="R46" s="6" t="n">
        <x:v>4</x:v>
      </x:c>
      <x:c r="S46" s="6" t="n">
        <x:v>5</x:v>
      </x:c>
      <x:c r="T46" s="6" t="n">
        <x:v>25000</x:v>
      </x:c>
      <x:c r="U46" s="8" t="n">
        <x:v>36526</x:v>
      </x:c>
      <x:c r="V46" s="8" t="n">
        <x:v>37987</x:v>
      </x:c>
      <x:c r="W46" s="8" t="n">
        <x:v>37987</x:v>
      </x:c>
      <x:c r="X46" s="8" t="n">
        <x:v>38078</x:v>
      </x:c>
      <x:c r="Y46" s="8" t="n">
        <x:v>38078</x:v>
      </x:c>
      <x:c r="Z46" s="8" t="n">
        <x:v>38353</x:v>
      </x:c>
      <x:c r="AA46" s="6" t="str">
        <x:v>[start,end)</x:v>
      </x:c>
      <x:c r="AB46" s="10" t="n">
        <x:v>18740.313</x:v>
      </x:c>
      <x:c r="AC46" s="10" t="n">
        <x:v>21456207.783</x:v>
      </x:c>
      <x:c r="AD46" s="9" t="n">
        <x:v>0.000873421491324633</x:v>
      </x:c>
      <x:c r="AE46" s="9" t="n">
        <x:v>0</x:v>
      </x:c>
      <x:c r="AF46" s="9" t="n">
        <x:v>0.625</x:v>
      </x:c>
      <x:c r="AG46" s="6" t="str">
        <x:v>esa-ew-id-duration-v1</x:v>
      </x:c>
      <x:c r="AH46" s="6" t="str">
        <x:v>Real prepared telemetry + real annotations</x:v>
      </x:c>
      <x:c r="AI46" s="6" t="str">
        <x:v>Matched 5 epochs / 25,000 windows. Previously inspected development periods.</x:v>
      </x:c>
      <x:c r="AJ46" s="6" t="str">
        <x:v>S041</x:v>
      </x:c>
    </x:row>
    <x:row r="47" ht="43" customHeight="1">
      <x:c r="A47" s="6" t="str">
        <x:v>R046</x:v>
      </x:c>
      <x:c r="B47" s="6" t="str">
        <x:v>Augmentation paired</x:v>
      </x:c>
      <x:c r="C47" s="6" t="str">
        <x:v>Short coordinated generator</x:v>
      </x:c>
      <x:c r="D47" s="6" t="str">
        <x:v>short_coordinated_seed44_v1</x:v>
      </x:c>
      <x:c r="E47" s="6" t="n">
        <x:v>44</x:v>
      </x:c>
      <x:c r="F47" s="6" t="str">
        <x:v>40, 41, 42, 43, 44, 45, 46, 47</x:v>
      </x:c>
      <x:c r="G47" s="6" t="str">
        <x:v>2004 Apr–Dec</x:v>
      </x:c>
      <x:c r="H47" s="6" t="str">
        <x:v>system_all_channels</x:v>
      </x:c>
      <x:c r="I47" s="9" t="n">
        <x:v>0.10101640717130546</x:v>
      </x:c>
      <x:c r="J47" s="9" t="n">
        <x:v>0.20927023625973015</x:v>
      </x:c>
      <x:c r="K47" s="9" t="n">
        <x:v>0.17997033376324292</x:v>
      </x:c>
      <x:c r="L47" s="9" t="n">
        <x:v>0.6</x:v>
      </x:c>
      <x:c r="M47" s="6" t="n">
        <x:v>6</x:v>
      </x:c>
      <x:c r="N47" s="6" t="n">
        <x:v>27</x:v>
      </x:c>
      <x:c r="O47" s="6" t="n">
        <x:v>4</x:v>
      </x:c>
      <x:c r="P47" s="6" t="n">
        <x:v>10</x:v>
      </x:c>
      <x:c r="Q47" s="6" t="n">
        <x:v>37</x:v>
      </x:c>
      <x:c r="R47" s="6" t="n">
        <x:v>5</x:v>
      </x:c>
      <x:c r="S47" s="6" t="n">
        <x:v>5</x:v>
      </x:c>
      <x:c r="T47" s="6" t="n">
        <x:v>25000</x:v>
      </x:c>
      <x:c r="U47" s="8" t="n">
        <x:v>36526</x:v>
      </x:c>
      <x:c r="V47" s="8" t="n">
        <x:v>37987</x:v>
      </x:c>
      <x:c r="W47" s="8" t="n">
        <x:v>37987</x:v>
      </x:c>
      <x:c r="X47" s="8" t="n">
        <x:v>38078</x:v>
      </x:c>
      <x:c r="Y47" s="8" t="n">
        <x:v>38078</x:v>
      </x:c>
      <x:c r="Z47" s="8" t="n">
        <x:v>38353</x:v>
      </x:c>
      <x:c r="AA47" s="6" t="str">
        <x:v>[start,end)</x:v>
      </x:c>
      <x:c r="AB47" s="10" t="n">
        <x:v>218062.965</x:v>
      </x:c>
      <x:c r="AC47" s="10" t="n">
        <x:v>21456207.783</x:v>
      </x:c>
      <x:c r="AD47" s="9" t="n">
        <x:v>0.010163164302164018</x:v>
      </x:c>
      <x:c r="AE47" s="9" t="n">
        <x:v>0.09818194214891686</x:v>
      </x:c>
      <x:c r="AF47" s="9" t="n">
        <x:v>0.5454545454545454</x:v>
      </x:c>
      <x:c r="AG47" s="6" t="str">
        <x:v>esa-ew-id-duration-v1</x:v>
      </x:c>
      <x:c r="AH47" s="6" t="str">
        <x:v>Real prepared telemetry + real annotations</x:v>
      </x:c>
      <x:c r="AI47" s="6" t="str">
        <x:v>Matched 5 epochs / 25,000 windows. Previously inspected development periods.</x:v>
      </x:c>
      <x:c r="AJ47" s="6" t="str">
        <x:v>S041</x:v>
      </x:c>
    </x:row>
    <x:row r="48" ht="43" customHeight="1">
      <x:c r="A48" s="6" t="str">
        <x:v>R047</x:v>
      </x:c>
      <x:c r="B48" s="6" t="str">
        <x:v>Augmentation paired</x:v>
      </x:c>
      <x:c r="C48" s="6" t="str">
        <x:v>Short coordinated generator</x:v>
      </x:c>
      <x:c r="D48" s="6" t="str">
        <x:v>short_coordinated_seed44_v1</x:v>
      </x:c>
      <x:c r="E48" s="6" t="n">
        <x:v>44</x:v>
      </x:c>
      <x:c r="F48" s="6" t="str">
        <x:v>40, 41, 42, 43, 44, 45, 46, 47</x:v>
      </x:c>
      <x:c r="G48" s="6" t="str">
        <x:v>2004 Apr–Dec</x:v>
      </x:c>
      <x:c r="H48" s="6" t="str">
        <x:v>input_channels_40_47</x:v>
      </x:c>
      <x:c r="I48" s="9" t="n">
        <x:v>0.10101640717130546</x:v>
      </x:c>
      <x:c r="J48" s="9" t="n">
        <x:v>0.21374324622333815</x:v>
      </x:c>
      <x:c r="K48" s="9" t="n">
        <x:v>0.17997033376324292</x:v>
      </x:c>
      <x:c r="L48" s="9" t="n">
        <x:v>0.8571428571428571</x:v>
      </x:c>
      <x:c r="M48" s="6" t="n">
        <x:v>6</x:v>
      </x:c>
      <x:c r="N48" s="6" t="n">
        <x:v>27</x:v>
      </x:c>
      <x:c r="O48" s="6" t="n">
        <x:v>1</x:v>
      </x:c>
      <x:c r="P48" s="6" t="n">
        <x:v>7</x:v>
      </x:c>
      <x:c r="Q48" s="6" t="n">
        <x:v>37</x:v>
      </x:c>
      <x:c r="R48" s="6" t="n">
        <x:v>5</x:v>
      </x:c>
      <x:c r="S48" s="6" t="n">
        <x:v>5</x:v>
      </x:c>
      <x:c r="T48" s="6" t="n">
        <x:v>25000</x:v>
      </x:c>
      <x:c r="U48" s="8" t="n">
        <x:v>36526</x:v>
      </x:c>
      <x:c r="V48" s="8" t="n">
        <x:v>37987</x:v>
      </x:c>
      <x:c r="W48" s="8" t="n">
        <x:v>37987</x:v>
      </x:c>
      <x:c r="X48" s="8" t="n">
        <x:v>38078</x:v>
      </x:c>
      <x:c r="Y48" s="8" t="n">
        <x:v>38078</x:v>
      </x:c>
      <x:c r="Z48" s="8" t="n">
        <x:v>38353</x:v>
      </x:c>
      <x:c r="AA48" s="6" t="str">
        <x:v>[start,end)</x:v>
      </x:c>
      <x:c r="AB48" s="10" t="n">
        <x:v>218062.965</x:v>
      </x:c>
      <x:c r="AC48" s="10" t="n">
        <x:v>21456207.783</x:v>
      </x:c>
      <x:c r="AD48" s="9" t="n">
        <x:v>0.010163164302164018</x:v>
      </x:c>
      <x:c r="AE48" s="9" t="n">
        <x:v>0.09818194214891686</x:v>
      </x:c>
      <x:c r="AF48" s="9" t="n">
        <x:v>0.6666666666666666</x:v>
      </x:c>
      <x:c r="AG48" s="6" t="str">
        <x:v>esa-ew-id-duration-v1</x:v>
      </x:c>
      <x:c r="AH48" s="6" t="str">
        <x:v>Real prepared telemetry + real annotations</x:v>
      </x:c>
      <x:c r="AI48" s="6" t="str">
        <x:v>Matched 5 epochs / 25,000 windows. Previously inspected development periods.</x:v>
      </x:c>
      <x:c r="AJ48" s="6" t="str">
        <x:v>S041</x:v>
      </x:c>
    </x:row>
    <x:row r="49" ht="43" customHeight="1">
      <x:c r="A49" s="6" t="str">
        <x:v>R048</x:v>
      </x:c>
      <x:c r="B49" s="6" t="str">
        <x:v>Augmentation paired</x:v>
      </x:c>
      <x:c r="C49" s="6" t="str">
        <x:v>Original generator</x:v>
      </x:c>
      <x:c r="D49" s="6" t="str">
        <x:v>short_coordinated_seed44_v1</x:v>
      </x:c>
      <x:c r="E49" s="6" t="n">
        <x:v>44</x:v>
      </x:c>
      <x:c r="F49" s="6" t="str">
        <x:v>40, 41, 42, 43, 44, 45, 46, 47</x:v>
      </x:c>
      <x:c r="G49" s="6" t="str">
        <x:v>2005 Apr–Dec</x:v>
      </x:c>
      <x:c r="H49" s="6" t="str">
        <x:v>system_all_channels</x:v>
      </x:c>
      <x:c r="I49" s="9" t="n">
        <x:v>0.8328804736937059</x:v>
      </x:c>
      <x:c r="J49" s="9" t="n">
        <x:v>0.8058315297321648</x:v>
      </x:c>
      <x:c r="K49" s="9" t="n">
        <x:v>0.8325058801127759</x:v>
      </x:c>
      <x:c r="L49" s="9" t="n">
        <x:v>0.7142857142857143</x:v>
      </x:c>
      <x:c r="M49" s="6" t="n">
        <x:v>5</x:v>
      </x:c>
      <x:c r="N49" s="6" t="n">
        <x:v>1</x:v>
      </x:c>
      <x:c r="O49" s="6" t="n">
        <x:v>2</x:v>
      </x:c>
      <x:c r="P49" s="6" t="n">
        <x:v>7</x:v>
      </x:c>
      <x:c r="Q49" s="6" t="n">
        <x:v>6</x:v>
      </x:c>
      <x:c r="R49" s="6" t="n">
        <x:v>1</x:v>
      </x:c>
      <x:c r="S49" s="6" t="n">
        <x:v>5</x:v>
      </x:c>
      <x:c r="T49" s="6" t="n">
        <x:v>25000</x:v>
      </x:c>
      <x:c r="U49" s="8" t="n">
        <x:v>36526</x:v>
      </x:c>
      <x:c r="V49" s="8" t="n">
        <x:v>38353</x:v>
      </x:c>
      <x:c r="W49" s="8" t="n">
        <x:v>38353</x:v>
      </x:c>
      <x:c r="X49" s="8" t="n">
        <x:v>38443</x:v>
      </x:c>
      <x:c r="Y49" s="8" t="n">
        <x:v>38443</x:v>
      </x:c>
      <x:c r="Z49" s="8" t="n">
        <x:v>38718</x:v>
      </x:c>
      <x:c r="AA49" s="6" t="str">
        <x:v>[start,end)</x:v>
      </x:c>
      <x:c r="AB49" s="10" t="n">
        <x:v>19064.184</x:v>
      </x:c>
      <x:c r="AC49" s="10" t="n">
        <x:v>19199659.395</x:v>
      </x:c>
      <x:c r="AD49" s="9" t="n">
        <x:v>0.0009929438646689714</x:v>
      </x:c>
      <x:c r="AE49" s="9" t="n">
        <x:v>0.0036363682277376613</x:v>
      </x:c>
      <x:c r="AF49" s="9" t="n">
        <x:v>1</x:v>
      </x:c>
      <x:c r="AG49" s="6" t="str">
        <x:v>esa-ew-id-duration-v1</x:v>
      </x:c>
      <x:c r="AH49" s="6" t="str">
        <x:v>Real prepared telemetry + real annotations</x:v>
      </x:c>
      <x:c r="AI49" s="6" t="str">
        <x:v>Matched 5 epochs / 25,000 windows. Previously inspected development periods.</x:v>
      </x:c>
      <x:c r="AJ49" s="6" t="str">
        <x:v>S041</x:v>
      </x:c>
    </x:row>
    <x:row r="50" ht="43" customHeight="1">
      <x:c r="A50" s="6" t="str">
        <x:v>R049</x:v>
      </x:c>
      <x:c r="B50" s="6" t="str">
        <x:v>Augmentation paired</x:v>
      </x:c>
      <x:c r="C50" s="6" t="str">
        <x:v>Original generator</x:v>
      </x:c>
      <x:c r="D50" s="6" t="str">
        <x:v>short_coordinated_seed44_v1</x:v>
      </x:c>
      <x:c r="E50" s="6" t="n">
        <x:v>44</x:v>
      </x:c>
      <x:c r="F50" s="6" t="str">
        <x:v>40, 41, 42, 43, 44, 45, 46, 47</x:v>
      </x:c>
      <x:c r="G50" s="6" t="str">
        <x:v>2005 Apr–Dec</x:v>
      </x:c>
      <x:c r="H50" s="6" t="str">
        <x:v>input_channels_40_47</x:v>
      </x:c>
      <x:c r="I50" s="9" t="n">
        <x:v>0.8328804736937059</x:v>
      </x:c>
      <x:c r="J50" s="9" t="n">
        <x:v>0.7401957752845437</x:v>
      </x:c>
      <x:c r="K50" s="9" t="n">
        <x:v>0.7992056449082648</x:v>
      </x:c>
      <x:c r="L50" s="9" t="n">
        <x:v>0.5714285714285714</x:v>
      </x:c>
      <x:c r="M50" s="6" t="n">
        <x:v>4</x:v>
      </x:c>
      <x:c r="N50" s="6" t="n">
        <x:v>1</x:v>
      </x:c>
      <x:c r="O50" s="6" t="n">
        <x:v>3</x:v>
      </x:c>
      <x:c r="P50" s="6" t="n">
        <x:v>7</x:v>
      </x:c>
      <x:c r="Q50" s="6" t="n">
        <x:v>6</x:v>
      </x:c>
      <x:c r="R50" s="6" t="n">
        <x:v>1</x:v>
      </x:c>
      <x:c r="S50" s="6" t="n">
        <x:v>5</x:v>
      </x:c>
      <x:c r="T50" s="6" t="n">
        <x:v>25000</x:v>
      </x:c>
      <x:c r="U50" s="8" t="n">
        <x:v>36526</x:v>
      </x:c>
      <x:c r="V50" s="8" t="n">
        <x:v>38353</x:v>
      </x:c>
      <x:c r="W50" s="8" t="n">
        <x:v>38353</x:v>
      </x:c>
      <x:c r="X50" s="8" t="n">
        <x:v>38443</x:v>
      </x:c>
      <x:c r="Y50" s="8" t="n">
        <x:v>38443</x:v>
      </x:c>
      <x:c r="Z50" s="8" t="n">
        <x:v>38718</x:v>
      </x:c>
      <x:c r="AA50" s="6" t="str">
        <x:v>[start,end)</x:v>
      </x:c>
      <x:c r="AB50" s="10" t="n">
        <x:v>19064.184</x:v>
      </x:c>
      <x:c r="AC50" s="10" t="n">
        <x:v>19199659.395</x:v>
      </x:c>
      <x:c r="AD50" s="9" t="n">
        <x:v>0.0009929438646689714</x:v>
      </x:c>
      <x:c r="AE50" s="9" t="n">
        <x:v>0.0036363682277376613</x:v>
      </x:c>
      <x:c r="AF50" s="9" t="n">
        <x:v>1</x:v>
      </x:c>
      <x:c r="AG50" s="6" t="str">
        <x:v>esa-ew-id-duration-v1</x:v>
      </x:c>
      <x:c r="AH50" s="6" t="str">
        <x:v>Real prepared telemetry + real annotations</x:v>
      </x:c>
      <x:c r="AI50" s="6" t="str">
        <x:v>Matched 5 epochs / 25,000 windows. Previously inspected development periods.</x:v>
      </x:c>
      <x:c r="AJ50" s="6" t="str">
        <x:v>S041</x:v>
      </x:c>
    </x:row>
    <x:row r="51" ht="43" customHeight="1">
      <x:c r="A51" s="6" t="str">
        <x:v>R050</x:v>
      </x:c>
      <x:c r="B51" s="6" t="str">
        <x:v>Augmentation paired</x:v>
      </x:c>
      <x:c r="C51" s="6" t="str">
        <x:v>Short coordinated generator</x:v>
      </x:c>
      <x:c r="D51" s="6" t="str">
        <x:v>short_coordinated_seed44_v1</x:v>
      </x:c>
      <x:c r="E51" s="6" t="n">
        <x:v>44</x:v>
      </x:c>
      <x:c r="F51" s="6" t="str">
        <x:v>40, 41, 42, 43, 44, 45, 46, 47</x:v>
      </x:c>
      <x:c r="G51" s="6" t="str">
        <x:v>2005 Apr–Dec</x:v>
      </x:c>
      <x:c r="H51" s="6" t="str">
        <x:v>system_all_channels</x:v>
      </x:c>
      <x:c r="I51" s="9" t="n">
        <x:v>0.8328804736937059</x:v>
      </x:c>
      <x:c r="J51" s="9" t="n">
        <x:v>0.9254848800801257</x:v>
      </x:c>
      <x:c r="K51" s="9" t="n">
        <x:v>0.9993570623443865</x:v>
      </x:c>
      <x:c r="L51" s="9" t="n">
        <x:v>0.7142857142857143</x:v>
      </x:c>
      <x:c r="M51" s="6" t="n">
        <x:v>5</x:v>
      </x:c>
      <x:c r="N51" s="6" t="n">
        <x:v>0</x:v>
      </x:c>
      <x:c r="O51" s="6" t="n">
        <x:v>2</x:v>
      </x:c>
      <x:c r="P51" s="6" t="n">
        <x:v>7</x:v>
      </x:c>
      <x:c r="Q51" s="6" t="n">
        <x:v>5</x:v>
      </x:c>
      <x:c r="R51" s="6" t="n">
        <x:v>1</x:v>
      </x:c>
      <x:c r="S51" s="6" t="n">
        <x:v>5</x:v>
      </x:c>
      <x:c r="T51" s="6" t="n">
        <x:v>25000</x:v>
      </x:c>
      <x:c r="U51" s="8" t="n">
        <x:v>36526</x:v>
      </x:c>
      <x:c r="V51" s="8" t="n">
        <x:v>38353</x:v>
      </x:c>
      <x:c r="W51" s="8" t="n">
        <x:v>38353</x:v>
      </x:c>
      <x:c r="X51" s="8" t="n">
        <x:v>38443</x:v>
      </x:c>
      <x:c r="Y51" s="8" t="n">
        <x:v>38443</x:v>
      </x:c>
      <x:c r="Z51" s="8" t="n">
        <x:v>38718</x:v>
      </x:c>
      <x:c r="AA51" s="6" t="str">
        <x:v>[start,end)</x:v>
      </x:c>
      <x:c r="AB51" s="10" t="n">
        <x:v>12344.184</x:v>
      </x:c>
      <x:c r="AC51" s="10" t="n">
        <x:v>19199659.395</x:v>
      </x:c>
      <x:c r="AD51" s="9" t="n">
        <x:v>0.000642937655613518</x:v>
      </x:c>
      <x:c r="AE51" s="9" t="n">
        <x:v>0</x:v>
      </x:c>
      <x:c r="AF51" s="9" t="n">
        <x:v>1</x:v>
      </x:c>
      <x:c r="AG51" s="6" t="str">
        <x:v>esa-ew-id-duration-v1</x:v>
      </x:c>
      <x:c r="AH51" s="6" t="str">
        <x:v>Real prepared telemetry + real annotations</x:v>
      </x:c>
      <x:c r="AI51" s="6" t="str">
        <x:v>Matched 5 epochs / 25,000 windows. Previously inspected development periods.</x:v>
      </x:c>
      <x:c r="AJ51" s="6" t="str">
        <x:v>S041</x:v>
      </x:c>
    </x:row>
    <x:row r="52" ht="43" customHeight="1">
      <x:c r="A52" s="6" t="str">
        <x:v>R051</x:v>
      </x:c>
      <x:c r="B52" s="6" t="str">
        <x:v>Augmentation paired</x:v>
      </x:c>
      <x:c r="C52" s="6" t="str">
        <x:v>Short coordinated generator</x:v>
      </x:c>
      <x:c r="D52" s="6" t="str">
        <x:v>short_coordinated_seed44_v1</x:v>
      </x:c>
      <x:c r="E52" s="6" t="n">
        <x:v>44</x:v>
      </x:c>
      <x:c r="F52" s="6" t="str">
        <x:v>40, 41, 42, 43, 44, 45, 46, 47</x:v>
      </x:c>
      <x:c r="G52" s="6" t="str">
        <x:v>2005 Apr–Dec</x:v>
      </x:c>
      <x:c r="H52" s="6" t="str">
        <x:v>input_channels_40_47</x:v>
      </x:c>
      <x:c r="I52" s="9" t="n">
        <x:v>0.8328804736937059</x:v>
      </x:c>
      <x:c r="J52" s="9" t="n">
        <x:v>0.9254848800801257</x:v>
      </x:c>
      <x:c r="K52" s="9" t="n">
        <x:v>0.9993570623443865</x:v>
      </x:c>
      <x:c r="L52" s="9" t="n">
        <x:v>0.7142857142857143</x:v>
      </x:c>
      <x:c r="M52" s="6" t="n">
        <x:v>5</x:v>
      </x:c>
      <x:c r="N52" s="6" t="n">
        <x:v>0</x:v>
      </x:c>
      <x:c r="O52" s="6" t="n">
        <x:v>2</x:v>
      </x:c>
      <x:c r="P52" s="6" t="n">
        <x:v>7</x:v>
      </x:c>
      <x:c r="Q52" s="6" t="n">
        <x:v>5</x:v>
      </x:c>
      <x:c r="R52" s="6" t="n">
        <x:v>1</x:v>
      </x:c>
      <x:c r="S52" s="6" t="n">
        <x:v>5</x:v>
      </x:c>
      <x:c r="T52" s="6" t="n">
        <x:v>25000</x:v>
      </x:c>
      <x:c r="U52" s="8" t="n">
        <x:v>36526</x:v>
      </x:c>
      <x:c r="V52" s="8" t="n">
        <x:v>38353</x:v>
      </x:c>
      <x:c r="W52" s="8" t="n">
        <x:v>38353</x:v>
      </x:c>
      <x:c r="X52" s="8" t="n">
        <x:v>38443</x:v>
      </x:c>
      <x:c r="Y52" s="8" t="n">
        <x:v>38443</x:v>
      </x:c>
      <x:c r="Z52" s="8" t="n">
        <x:v>38718</x:v>
      </x:c>
      <x:c r="AA52" s="6" t="str">
        <x:v>[start,end)</x:v>
      </x:c>
      <x:c r="AB52" s="10" t="n">
        <x:v>12344.184</x:v>
      </x:c>
      <x:c r="AC52" s="10" t="n">
        <x:v>19199659.395</x:v>
      </x:c>
      <x:c r="AD52" s="9" t="n">
        <x:v>0.000642937655613518</x:v>
      </x:c>
      <x:c r="AE52" s="9" t="n">
        <x:v>0</x:v>
      </x:c>
      <x:c r="AF52" s="9" t="n">
        <x:v>1</x:v>
      </x:c>
      <x:c r="AG52" s="6" t="str">
        <x:v>esa-ew-id-duration-v1</x:v>
      </x:c>
      <x:c r="AH52" s="6" t="str">
        <x:v>Real prepared telemetry + real annotations</x:v>
      </x:c>
      <x:c r="AI52" s="6" t="str">
        <x:v>Matched 5 epochs / 25,000 windows. Previously inspected development periods.</x:v>
      </x:c>
      <x:c r="AJ52" s="6" t="str">
        <x:v>S041</x:v>
      </x:c>
    </x:row>
    <x:row r="53" ht="43" customHeight="1">
      <x:c r="A53" s="6" t="str">
        <x:v>R052</x:v>
      </x:c>
      <x:c r="B53" s="6" t="str">
        <x:v>No short rolls paired</x:v>
      </x:c>
      <x:c r="C53" s="6" t="str">
        <x:v>Short coordinated generator</x:v>
      </x:c>
      <x:c r="D53" s="6" t="str">
        <x:v>short_no_roll_seed42_v1</x:v>
      </x:c>
      <x:c r="E53" s="6" t="n">
        <x:v>42</x:v>
      </x:c>
      <x:c r="F53" s="6" t="str">
        <x:v>40, 41, 42, 43, 44, 45, 46, 47</x:v>
      </x:c>
      <x:c r="G53" s="6" t="str">
        <x:v>2003 Apr–Dec</x:v>
      </x:c>
      <x:c r="H53" s="6" t="str">
        <x:v>system_all_channels</x:v>
      </x:c>
      <x:c r="I53" s="9" t="n">
        <x:v>0.7142857142857143</x:v>
      </x:c>
      <x:c r="J53" s="9" t="n">
        <x:v>0.7142841320076883</x:v>
      </x:c>
      <x:c r="K53" s="9" t="n">
        <x:v>0.9999961234252767</x:v>
      </x:c>
      <x:c r="L53" s="9" t="n">
        <x:v>0.3333333333333333</x:v>
      </x:c>
      <x:c r="M53" s="6" t="n">
        <x:v>2</x:v>
      </x:c>
      <x:c r="N53" s="6" t="n">
        <x:v>0</x:v>
      </x:c>
      <x:c r="O53" s="6" t="n">
        <x:v>4</x:v>
      </x:c>
      <x:c r="P53" s="6" t="n">
        <x:v>6</x:v>
      </x:c>
      <x:c r="Q53" s="6" t="n">
        <x:v>2</x:v>
      </x:c>
      <x:c r="R53" s="6" t="n">
        <x:v>1</x:v>
      </x:c>
      <x:c r="S53" s="6" t="n">
        <x:v>5</x:v>
      </x:c>
      <x:c r="T53" s="6" t="n">
        <x:v>25000</x:v>
      </x:c>
      <x:c r="U53" s="8" t="n">
        <x:v>36526</x:v>
      </x:c>
      <x:c r="V53" s="8" t="n">
        <x:v>37622</x:v>
      </x:c>
      <x:c r="W53" s="8" t="n">
        <x:v>37622</x:v>
      </x:c>
      <x:c r="X53" s="8" t="n">
        <x:v>37712</x:v>
      </x:c>
      <x:c r="Y53" s="8" t="n">
        <x:v>37712</x:v>
      </x:c>
      <x:c r="Z53" s="8" t="n">
        <x:v>37987</x:v>
      </x:c>
      <x:c r="AA53" s="6" t="str">
        <x:v>[start,end)</x:v>
      </x:c>
      <x:c r="AB53" s="10" t="n">
        <x:v>85.212</x:v>
      </x:c>
      <x:c r="AC53" s="10" t="n">
        <x:v>21981260.799</x:v>
      </x:c>
      <x:c r="AD53" s="9" t="n">
        <x:v>0.000003876574723338244</x:v>
      </x:c>
      <x:c r="AE53" s="9" t="n">
        <x:v>0</x:v>
      </x:c>
      <x:c r="AF53" s="9" t="n">
        <x:v>1</x:v>
      </x:c>
      <x:c r="AG53" s="6" t="str">
        <x:v>esa-ew-id-duration-v1</x:v>
      </x:c>
      <x:c r="AH53" s="6" t="str">
        <x:v>Real prepared telemetry + real annotations</x:v>
      </x:c>
      <x:c r="AI53" s="6" t="str">
        <x:v>Matched 5 epochs / 25,000 windows. One seed so far. Rolls remain in legacy branch.</x:v>
      </x:c>
      <x:c r="AJ53" s="6" t="str">
        <x:v>S049</x:v>
      </x:c>
    </x:row>
    <x:row r="54" ht="43" customHeight="1">
      <x:c r="A54" s="6" t="str">
        <x:v>R053</x:v>
      </x:c>
      <x:c r="B54" s="6" t="str">
        <x:v>No short rolls paired</x:v>
      </x:c>
      <x:c r="C54" s="6" t="str">
        <x:v>Short coordinated generator</x:v>
      </x:c>
      <x:c r="D54" s="6" t="str">
        <x:v>short_no_roll_seed42_v1</x:v>
      </x:c>
      <x:c r="E54" s="6" t="n">
        <x:v>42</x:v>
      </x:c>
      <x:c r="F54" s="6" t="str">
        <x:v>40, 41, 42, 43, 44, 45, 46, 47</x:v>
      </x:c>
      <x:c r="G54" s="6" t="str">
        <x:v>2003 Apr–Dec</x:v>
      </x:c>
      <x:c r="H54" s="6" t="str">
        <x:v>input_channels_40_47</x:v>
      </x:c>
      <x:c r="I54" s="9" t="n">
        <x:v>0.7142857142857143</x:v>
      </x:c>
      <x:c r="J54" s="9" t="n">
        <x:v>0.7142841320076883</x:v>
      </x:c>
      <x:c r="K54" s="9" t="n">
        <x:v>0.9999961234252767</x:v>
      </x:c>
      <x:c r="L54" s="9" t="n">
        <x:v>0.3333333333333333</x:v>
      </x:c>
      <x:c r="M54" s="6" t="n">
        <x:v>2</x:v>
      </x:c>
      <x:c r="N54" s="6" t="n">
        <x:v>0</x:v>
      </x:c>
      <x:c r="O54" s="6" t="n">
        <x:v>4</x:v>
      </x:c>
      <x:c r="P54" s="6" t="n">
        <x:v>6</x:v>
      </x:c>
      <x:c r="Q54" s="6" t="n">
        <x:v>2</x:v>
      </x:c>
      <x:c r="R54" s="6" t="n">
        <x:v>1</x:v>
      </x:c>
      <x:c r="S54" s="6" t="n">
        <x:v>5</x:v>
      </x:c>
      <x:c r="T54" s="6" t="n">
        <x:v>25000</x:v>
      </x:c>
      <x:c r="U54" s="8" t="n">
        <x:v>36526</x:v>
      </x:c>
      <x:c r="V54" s="8" t="n">
        <x:v>37622</x:v>
      </x:c>
      <x:c r="W54" s="8" t="n">
        <x:v>37622</x:v>
      </x:c>
      <x:c r="X54" s="8" t="n">
        <x:v>37712</x:v>
      </x:c>
      <x:c r="Y54" s="8" t="n">
        <x:v>37712</x:v>
      </x:c>
      <x:c r="Z54" s="8" t="n">
        <x:v>37987</x:v>
      </x:c>
      <x:c r="AA54" s="6" t="str">
        <x:v>[start,end)</x:v>
      </x:c>
      <x:c r="AB54" s="10" t="n">
        <x:v>85.212</x:v>
      </x:c>
      <x:c r="AC54" s="10" t="n">
        <x:v>21981260.799</x:v>
      </x:c>
      <x:c r="AD54" s="9" t="n">
        <x:v>0.000003876574723338244</x:v>
      </x:c>
      <x:c r="AE54" s="9" t="n">
        <x:v>0</x:v>
      </x:c>
      <x:c r="AF54" s="9" t="n">
        <x:v>1</x:v>
      </x:c>
      <x:c r="AG54" s="6" t="str">
        <x:v>esa-ew-id-duration-v1</x:v>
      </x:c>
      <x:c r="AH54" s="6" t="str">
        <x:v>Real prepared telemetry + real annotations</x:v>
      </x:c>
      <x:c r="AI54" s="6" t="str">
        <x:v>Matched 5 epochs / 25,000 windows. One seed so far. Rolls remain in legacy branch.</x:v>
      </x:c>
      <x:c r="AJ54" s="6" t="str">
        <x:v>S049</x:v>
      </x:c>
    </x:row>
    <x:row r="55" ht="43" customHeight="1">
      <x:c r="A55" s="6" t="str">
        <x:v>R054</x:v>
      </x:c>
      <x:c r="B55" s="6" t="str">
        <x:v>No short rolls paired</x:v>
      </x:c>
      <x:c r="C55" s="6" t="str">
        <x:v>Short generator without rolls</x:v>
      </x:c>
      <x:c r="D55" s="6" t="str">
        <x:v>short_no_roll_seed42_v1</x:v>
      </x:c>
      <x:c r="E55" s="6" t="n">
        <x:v>42</x:v>
      </x:c>
      <x:c r="F55" s="6" t="str">
        <x:v>40, 41, 42, 43, 44, 45, 46, 47</x:v>
      </x:c>
      <x:c r="G55" s="6" t="str">
        <x:v>2003 Apr–Dec</x:v>
      </x:c>
      <x:c r="H55" s="6" t="str">
        <x:v>system_all_channels</x:v>
      </x:c>
      <x:c r="I55" s="9" t="n">
        <x:v>0.7142857142857143</x:v>
      </x:c>
      <x:c r="J55" s="9" t="n">
        <x:v>0.8327631864538698</x:v>
      </x:c>
      <x:c r="K55" s="9" t="n">
        <x:v>0.8326207716134564</x:v>
      </x:c>
      <x:c r="L55" s="9" t="n">
        <x:v>0.8333333333333334</x:v>
      </x:c>
      <x:c r="M55" s="6" t="n">
        <x:v>5</x:v>
      </x:c>
      <x:c r="N55" s="6" t="n">
        <x:v>1</x:v>
      </x:c>
      <x:c r="O55" s="6" t="n">
        <x:v>1</x:v>
      </x:c>
      <x:c r="P55" s="6" t="n">
        <x:v>6</x:v>
      </x:c>
      <x:c r="Q55" s="6" t="n">
        <x:v>9</x:v>
      </x:c>
      <x:c r="R55" s="6" t="n">
        <x:v>2</x:v>
      </x:c>
      <x:c r="S55" s="6" t="n">
        <x:v>5</x:v>
      </x:c>
      <x:c r="T55" s="6" t="n">
        <x:v>25000</x:v>
      </x:c>
      <x:c r="U55" s="8" t="n">
        <x:v>36526</x:v>
      </x:c>
      <x:c r="V55" s="8" t="n">
        <x:v>37622</x:v>
      </x:c>
      <x:c r="W55" s="8" t="n">
        <x:v>37622</x:v>
      </x:c>
      <x:c r="X55" s="8" t="n">
        <x:v>37712</x:v>
      </x:c>
      <x:c r="Y55" s="8" t="n">
        <x:v>37712</x:v>
      </x:c>
      <x:c r="Z55" s="8" t="n">
        <x:v>37987</x:v>
      </x:c>
      <x:c r="AA55" s="6" t="str">
        <x:v>[start,end)</x:v>
      </x:c>
      <x:c r="AB55" s="10" t="n">
        <x:v>18795.606</x:v>
      </x:c>
      <x:c r="AC55" s="10" t="n">
        <x:v>21981260.799</x:v>
      </x:c>
      <x:c r="AD55" s="9" t="n">
        <x:v>0.0008550740638524346</x:v>
      </x:c>
      <x:c r="AE55" s="9" t="n">
        <x:v>0.0036363682277376613</x:v>
      </x:c>
      <x:c r="AF55" s="9" t="n">
        <x:v>0.5555555555555556</x:v>
      </x:c>
      <x:c r="AG55" s="6" t="str">
        <x:v>esa-ew-id-duration-v1</x:v>
      </x:c>
      <x:c r="AH55" s="6" t="str">
        <x:v>Real prepared telemetry + real annotations</x:v>
      </x:c>
      <x:c r="AI55" s="6" t="str">
        <x:v>Matched 5 epochs / 25,000 windows. One seed so far. Rolls remain in legacy branch.</x:v>
      </x:c>
      <x:c r="AJ55" s="6" t="str">
        <x:v>S049</x:v>
      </x:c>
    </x:row>
    <x:row r="56" ht="43" customHeight="1">
      <x:c r="A56" s="6" t="str">
        <x:v>R055</x:v>
      </x:c>
      <x:c r="B56" s="6" t="str">
        <x:v>No short rolls paired</x:v>
      </x:c>
      <x:c r="C56" s="6" t="str">
        <x:v>Short generator without rolls</x:v>
      </x:c>
      <x:c r="D56" s="6" t="str">
        <x:v>short_no_roll_seed42_v1</x:v>
      </x:c>
      <x:c r="E56" s="6" t="n">
        <x:v>42</x:v>
      </x:c>
      <x:c r="F56" s="6" t="str">
        <x:v>40, 41, 42, 43, 44, 45, 46, 47</x:v>
      </x:c>
      <x:c r="G56" s="6" t="str">
        <x:v>2003 Apr–Dec</x:v>
      </x:c>
      <x:c r="H56" s="6" t="str">
        <x:v>input_channels_40_47</x:v>
      </x:c>
      <x:c r="I56" s="9" t="n">
        <x:v>0.7142857142857143</x:v>
      </x:c>
      <x:c r="J56" s="9" t="n">
        <x:v>0.8327631864538698</x:v>
      </x:c>
      <x:c r="K56" s="9" t="n">
        <x:v>0.8326207716134564</x:v>
      </x:c>
      <x:c r="L56" s="9" t="n">
        <x:v>0.8333333333333334</x:v>
      </x:c>
      <x:c r="M56" s="6" t="n">
        <x:v>5</x:v>
      </x:c>
      <x:c r="N56" s="6" t="n">
        <x:v>1</x:v>
      </x:c>
      <x:c r="O56" s="6" t="n">
        <x:v>1</x:v>
      </x:c>
      <x:c r="P56" s="6" t="n">
        <x:v>6</x:v>
      </x:c>
      <x:c r="Q56" s="6" t="n">
        <x:v>9</x:v>
      </x:c>
      <x:c r="R56" s="6" t="n">
        <x:v>2</x:v>
      </x:c>
      <x:c r="S56" s="6" t="n">
        <x:v>5</x:v>
      </x:c>
      <x:c r="T56" s="6" t="n">
        <x:v>25000</x:v>
      </x:c>
      <x:c r="U56" s="8" t="n">
        <x:v>36526</x:v>
      </x:c>
      <x:c r="V56" s="8" t="n">
        <x:v>37622</x:v>
      </x:c>
      <x:c r="W56" s="8" t="n">
        <x:v>37622</x:v>
      </x:c>
      <x:c r="X56" s="8" t="n">
        <x:v>37712</x:v>
      </x:c>
      <x:c r="Y56" s="8" t="n">
        <x:v>37712</x:v>
      </x:c>
      <x:c r="Z56" s="8" t="n">
        <x:v>37987</x:v>
      </x:c>
      <x:c r="AA56" s="6" t="str">
        <x:v>[start,end)</x:v>
      </x:c>
      <x:c r="AB56" s="10" t="n">
        <x:v>18795.606</x:v>
      </x:c>
      <x:c r="AC56" s="10" t="n">
        <x:v>21981260.799</x:v>
      </x:c>
      <x:c r="AD56" s="9" t="n">
        <x:v>0.0008550740638524346</x:v>
      </x:c>
      <x:c r="AE56" s="9" t="n">
        <x:v>0.0036363682277376613</x:v>
      </x:c>
      <x:c r="AF56" s="9" t="n">
        <x:v>0.7142857142857143</x:v>
      </x:c>
      <x:c r="AG56" s="6" t="str">
        <x:v>esa-ew-id-duration-v1</x:v>
      </x:c>
      <x:c r="AH56" s="6" t="str">
        <x:v>Real prepared telemetry + real annotations</x:v>
      </x:c>
      <x:c r="AI56" s="6" t="str">
        <x:v>Matched 5 epochs / 25,000 windows. One seed so far. Rolls remain in legacy branch.</x:v>
      </x:c>
      <x:c r="AJ56" s="6" t="str">
        <x:v>S049</x:v>
      </x:c>
    </x:row>
    <x:row r="57" ht="43" customHeight="1">
      <x:c r="A57" s="6" t="str">
        <x:v>R056</x:v>
      </x:c>
      <x:c r="B57" s="6" t="str">
        <x:v>No short rolls paired</x:v>
      </x:c>
      <x:c r="C57" s="6" t="str">
        <x:v>Short coordinated generator</x:v>
      </x:c>
      <x:c r="D57" s="6" t="str">
        <x:v>short_no_roll_seed42_v1</x:v>
      </x:c>
      <x:c r="E57" s="6" t="n">
        <x:v>42</x:v>
      </x:c>
      <x:c r="F57" s="6" t="str">
        <x:v>40, 41, 42, 43, 44, 45, 46, 47</x:v>
      </x:c>
      <x:c r="G57" s="6" t="str">
        <x:v>2004 Apr–Dec</x:v>
      </x:c>
      <x:c r="H57" s="6" t="str">
        <x:v>system_all_channels</x:v>
      </x:c>
      <x:c r="I57" s="9" t="n">
        <x:v>0</x:v>
      </x:c>
      <x:c r="J57" s="9" t="n">
        <x:v>0.37784526681606334</x:v>
      </x:c>
      <x:c r="K57" s="9" t="n">
        <x:v>0.3560958688899843</x:v>
      </x:c>
      <x:c r="L57" s="9" t="n">
        <x:v>0.5</x:v>
      </x:c>
      <x:c r="M57" s="6" t="n">
        <x:v>5</x:v>
      </x:c>
      <x:c r="N57" s="6" t="n">
        <x:v>9</x:v>
      </x:c>
      <x:c r="O57" s="6" t="n">
        <x:v>5</x:v>
      </x:c>
      <x:c r="P57" s="6" t="n">
        <x:v>10</x:v>
      </x:c>
      <x:c r="Q57" s="6" t="n">
        <x:v>16</x:v>
      </x:c>
      <x:c r="R57" s="6" t="n">
        <x:v>1</x:v>
      </x:c>
      <x:c r="S57" s="6" t="n">
        <x:v>5</x:v>
      </x:c>
      <x:c r="T57" s="6" t="n">
        <x:v>25000</x:v>
      </x:c>
      <x:c r="U57" s="8" t="n">
        <x:v>36526</x:v>
      </x:c>
      <x:c r="V57" s="8" t="n">
        <x:v>37987</x:v>
      </x:c>
      <x:c r="W57" s="8" t="n">
        <x:v>37987</x:v>
      </x:c>
      <x:c r="X57" s="8" t="n">
        <x:v>38078</x:v>
      </x:c>
      <x:c r="Y57" s="8" t="n">
        <x:v>38078</x:v>
      </x:c>
      <x:c r="Z57" s="8" t="n">
        <x:v>38353</x:v>
      </x:c>
      <x:c r="AA57" s="6" t="str">
        <x:v>[start,end)</x:v>
      </x:c>
      <x:c r="AB57" s="10" t="n">
        <x:v>62900.313</x:v>
      </x:c>
      <x:c r="AC57" s="10" t="n">
        <x:v>21456207.783</x:v>
      </x:c>
      <x:c r="AD57" s="9" t="n">
        <x:v>0.0029315671080439865</x:v>
      </x:c>
      <x:c r="AE57" s="9" t="n">
        <x:v>0.03272731404963895</x:v>
      </x:c>
      <x:c r="AF57" s="9" t="n">
        <x:v>0.7142857142857143</x:v>
      </x:c>
      <x:c r="AG57" s="6" t="str">
        <x:v>esa-ew-id-duration-v1</x:v>
      </x:c>
      <x:c r="AH57" s="6" t="str">
        <x:v>Real prepared telemetry + real annotations</x:v>
      </x:c>
      <x:c r="AI57" s="6" t="str">
        <x:v>Matched 5 epochs / 25,000 windows. One seed so far. Rolls remain in legacy branch.</x:v>
      </x:c>
      <x:c r="AJ57" s="6" t="str">
        <x:v>S049</x:v>
      </x:c>
    </x:row>
    <x:row r="58" ht="43" customHeight="1">
      <x:c r="A58" s="6" t="str">
        <x:v>R057</x:v>
      </x:c>
      <x:c r="B58" s="6" t="str">
        <x:v>No short rolls paired</x:v>
      </x:c>
      <x:c r="C58" s="6" t="str">
        <x:v>Short coordinated generator</x:v>
      </x:c>
      <x:c r="D58" s="6" t="str">
        <x:v>short_no_roll_seed42_v1</x:v>
      </x:c>
      <x:c r="E58" s="6" t="n">
        <x:v>42</x:v>
      </x:c>
      <x:c r="F58" s="6" t="str">
        <x:v>40, 41, 42, 43, 44, 45, 46, 47</x:v>
      </x:c>
      <x:c r="G58" s="6" t="str">
        <x:v>2004 Apr–Dec</x:v>
      </x:c>
      <x:c r="H58" s="6" t="str">
        <x:v>input_channels_40_47</x:v>
      </x:c>
      <x:c r="I58" s="9" t="n">
        <x:v>0</x:v>
      </x:c>
      <x:c r="J58" s="9" t="n">
        <x:v>0.39579099741883733</x:v>
      </x:c>
      <x:c r="K58" s="9" t="n">
        <x:v>0.3560958688899843</x:v>
      </x:c>
      <x:c r="L58" s="9" t="n">
        <x:v>0.7142857142857143</x:v>
      </x:c>
      <x:c r="M58" s="6" t="n">
        <x:v>5</x:v>
      </x:c>
      <x:c r="N58" s="6" t="n">
        <x:v>9</x:v>
      </x:c>
      <x:c r="O58" s="6" t="n">
        <x:v>2</x:v>
      </x:c>
      <x:c r="P58" s="6" t="n">
        <x:v>7</x:v>
      </x:c>
      <x:c r="Q58" s="6" t="n">
        <x:v>16</x:v>
      </x:c>
      <x:c r="R58" s="6" t="n">
        <x:v>1</x:v>
      </x:c>
      <x:c r="S58" s="6" t="n">
        <x:v>5</x:v>
      </x:c>
      <x:c r="T58" s="6" t="n">
        <x:v>25000</x:v>
      </x:c>
      <x:c r="U58" s="8" t="n">
        <x:v>36526</x:v>
      </x:c>
      <x:c r="V58" s="8" t="n">
        <x:v>37987</x:v>
      </x:c>
      <x:c r="W58" s="8" t="n">
        <x:v>37987</x:v>
      </x:c>
      <x:c r="X58" s="8" t="n">
        <x:v>38078</x:v>
      </x:c>
      <x:c r="Y58" s="8" t="n">
        <x:v>38078</x:v>
      </x:c>
      <x:c r="Z58" s="8" t="n">
        <x:v>38353</x:v>
      </x:c>
      <x:c r="AA58" s="6" t="str">
        <x:v>[start,end)</x:v>
      </x:c>
      <x:c r="AB58" s="10" t="n">
        <x:v>62900.313</x:v>
      </x:c>
      <x:c r="AC58" s="10" t="n">
        <x:v>21456207.783</x:v>
      </x:c>
      <x:c r="AD58" s="9" t="n">
        <x:v>0.0029315671080439865</x:v>
      </x:c>
      <x:c r="AE58" s="9" t="n">
        <x:v>0.03272731404963895</x:v>
      </x:c>
      <x:c r="AF58" s="9" t="n">
        <x:v>0.7142857142857143</x:v>
      </x:c>
      <x:c r="AG58" s="6" t="str">
        <x:v>esa-ew-id-duration-v1</x:v>
      </x:c>
      <x:c r="AH58" s="6" t="str">
        <x:v>Real prepared telemetry + real annotations</x:v>
      </x:c>
      <x:c r="AI58" s="6" t="str">
        <x:v>Matched 5 epochs / 25,000 windows. One seed so far. Rolls remain in legacy branch.</x:v>
      </x:c>
      <x:c r="AJ58" s="6" t="str">
        <x:v>S049</x:v>
      </x:c>
    </x:row>
    <x:row r="59" ht="43" customHeight="1">
      <x:c r="A59" s="6" t="str">
        <x:v>R058</x:v>
      </x:c>
      <x:c r="B59" s="6" t="str">
        <x:v>No short rolls paired</x:v>
      </x:c>
      <x:c r="C59" s="6" t="str">
        <x:v>Short generator without rolls</x:v>
      </x:c>
      <x:c r="D59" s="6" t="str">
        <x:v>short_no_roll_seed42_v1</x:v>
      </x:c>
      <x:c r="E59" s="6" t="n">
        <x:v>42</x:v>
      </x:c>
      <x:c r="F59" s="6" t="str">
        <x:v>40, 41, 42, 43, 44, 45, 46, 47</x:v>
      </x:c>
      <x:c r="G59" s="6" t="str">
        <x:v>2004 Apr–Dec</x:v>
      </x:c>
      <x:c r="H59" s="6" t="str">
        <x:v>system_all_channels</x:v>
      </x:c>
      <x:c r="I59" s="9" t="n">
        <x:v>0</x:v>
      </x:c>
      <x:c r="J59" s="9" t="n">
        <x:v>0.5261337504572453</x:v>
      </x:c>
      <x:c r="K59" s="9" t="n">
        <x:v>0.5711603756397523</x:v>
      </x:c>
      <x:c r="L59" s="9" t="n">
        <x:v>0.4</x:v>
      </x:c>
      <x:c r="M59" s="6" t="n">
        <x:v>4</x:v>
      </x:c>
      <x:c r="N59" s="6" t="n">
        <x:v>3</x:v>
      </x:c>
      <x:c r="O59" s="6" t="n">
        <x:v>6</x:v>
      </x:c>
      <x:c r="P59" s="6" t="n">
        <x:v>10</x:v>
      </x:c>
      <x:c r="Q59" s="6" t="n">
        <x:v>9</x:v>
      </x:c>
      <x:c r="R59" s="6" t="n">
        <x:v>1</x:v>
      </x:c>
      <x:c r="S59" s="6" t="n">
        <x:v>5</x:v>
      </x:c>
      <x:c r="T59" s="6" t="n">
        <x:v>25000</x:v>
      </x:c>
      <x:c r="U59" s="8" t="n">
        <x:v>36526</x:v>
      </x:c>
      <x:c r="V59" s="8" t="n">
        <x:v>37987</x:v>
      </x:c>
      <x:c r="W59" s="8" t="n">
        <x:v>37987</x:v>
      </x:c>
      <x:c r="X59" s="8" t="n">
        <x:v>38078</x:v>
      </x:c>
      <x:c r="Y59" s="8" t="n">
        <x:v>38078</x:v>
      </x:c>
      <x:c r="Z59" s="8" t="n">
        <x:v>38353</x:v>
      </x:c>
      <x:c r="AA59" s="6" t="str">
        <x:v>[start,end)</x:v>
      </x:c>
      <x:c r="AB59" s="10" t="n">
        <x:v>10070.313</x:v>
      </x:c>
      <x:c r="AC59" s="10" t="n">
        <x:v>21456207.783</x:v>
      </x:c>
      <x:c r="AD59" s="9" t="n">
        <x:v>0.0004693426304334114</x:v>
      </x:c>
      <x:c r="AE59" s="9" t="n">
        <x:v>0.010909104683212984</x:v>
      </x:c>
      <x:c r="AF59" s="9" t="n">
        <x:v>0.6666666666666666</x:v>
      </x:c>
      <x:c r="AG59" s="6" t="str">
        <x:v>esa-ew-id-duration-v1</x:v>
      </x:c>
      <x:c r="AH59" s="6" t="str">
        <x:v>Real prepared telemetry + real annotations</x:v>
      </x:c>
      <x:c r="AI59" s="6" t="str">
        <x:v>Matched 5 epochs / 25,000 windows. One seed so far. Rolls remain in legacy branch.</x:v>
      </x:c>
      <x:c r="AJ59" s="6" t="str">
        <x:v>S049</x:v>
      </x:c>
    </x:row>
    <x:row r="60" ht="43" customHeight="1">
      <x:c r="A60" s="6" t="str">
        <x:v>R059</x:v>
      </x:c>
      <x:c r="B60" s="6" t="str">
        <x:v>No short rolls paired</x:v>
      </x:c>
      <x:c r="C60" s="6" t="str">
        <x:v>Short generator without rolls</x:v>
      </x:c>
      <x:c r="D60" s="6" t="str">
        <x:v>short_no_roll_seed42_v1</x:v>
      </x:c>
      <x:c r="E60" s="6" t="n">
        <x:v>42</x:v>
      </x:c>
      <x:c r="F60" s="6" t="str">
        <x:v>40, 41, 42, 43, 44, 45, 46, 47</x:v>
      </x:c>
      <x:c r="G60" s="6" t="str">
        <x:v>2004 Apr–Dec</x:v>
      </x:c>
      <x:c r="H60" s="6" t="str">
        <x:v>input_channels_40_47</x:v>
      </x:c>
      <x:c r="I60" s="9" t="n">
        <x:v>0</x:v>
      </x:c>
      <x:c r="J60" s="9" t="n">
        <x:v>0.5712139946555107</x:v>
      </x:c>
      <x:c r="K60" s="9" t="n">
        <x:v>0.5711603756397523</x:v>
      </x:c>
      <x:c r="L60" s="9" t="n">
        <x:v>0.5714285714285714</x:v>
      </x:c>
      <x:c r="M60" s="6" t="n">
        <x:v>4</x:v>
      </x:c>
      <x:c r="N60" s="6" t="n">
        <x:v>3</x:v>
      </x:c>
      <x:c r="O60" s="6" t="n">
        <x:v>3</x:v>
      </x:c>
      <x:c r="P60" s="6" t="n">
        <x:v>7</x:v>
      </x:c>
      <x:c r="Q60" s="6" t="n">
        <x:v>9</x:v>
      </x:c>
      <x:c r="R60" s="6" t="n">
        <x:v>1</x:v>
      </x:c>
      <x:c r="S60" s="6" t="n">
        <x:v>5</x:v>
      </x:c>
      <x:c r="T60" s="6" t="n">
        <x:v>25000</x:v>
      </x:c>
      <x:c r="U60" s="8" t="n">
        <x:v>36526</x:v>
      </x:c>
      <x:c r="V60" s="8" t="n">
        <x:v>37987</x:v>
      </x:c>
      <x:c r="W60" s="8" t="n">
        <x:v>37987</x:v>
      </x:c>
      <x:c r="X60" s="8" t="n">
        <x:v>38078</x:v>
      </x:c>
      <x:c r="Y60" s="8" t="n">
        <x:v>38078</x:v>
      </x:c>
      <x:c r="Z60" s="8" t="n">
        <x:v>38353</x:v>
      </x:c>
      <x:c r="AA60" s="6" t="str">
        <x:v>[start,end)</x:v>
      </x:c>
      <x:c r="AB60" s="10" t="n">
        <x:v>10070.313</x:v>
      </x:c>
      <x:c r="AC60" s="10" t="n">
        <x:v>21456207.783</x:v>
      </x:c>
      <x:c r="AD60" s="9" t="n">
        <x:v>0.0004693426304334114</x:v>
      </x:c>
      <x:c r="AE60" s="9" t="n">
        <x:v>0.010909104683212984</x:v>
      </x:c>
      <x:c r="AF60" s="9" t="n">
        <x:v>0.6666666666666666</x:v>
      </x:c>
      <x:c r="AG60" s="6" t="str">
        <x:v>esa-ew-id-duration-v1</x:v>
      </x:c>
      <x:c r="AH60" s="6" t="str">
        <x:v>Real prepared telemetry + real annotations</x:v>
      </x:c>
      <x:c r="AI60" s="6" t="str">
        <x:v>Matched 5 epochs / 25,000 windows. One seed so far. Rolls remain in legacy branch.</x:v>
      </x:c>
      <x:c r="AJ60" s="6" t="str">
        <x:v>S049</x:v>
      </x:c>
    </x:row>
    <x:row r="61" ht="43" customHeight="1">
      <x:c r="A61" s="6" t="str">
        <x:v>R060</x:v>
      </x:c>
      <x:c r="B61" s="6" t="str">
        <x:v>No short rolls paired</x:v>
      </x:c>
      <x:c r="C61" s="6" t="str">
        <x:v>Short coordinated generator</x:v>
      </x:c>
      <x:c r="D61" s="6" t="str">
        <x:v>short_no_roll_seed42_v1</x:v>
      </x:c>
      <x:c r="E61" s="6" t="n">
        <x:v>42</x:v>
      </x:c>
      <x:c r="F61" s="6" t="str">
        <x:v>40, 41, 42, 43, 44, 45, 46, 47</x:v>
      </x:c>
      <x:c r="G61" s="6" t="str">
        <x:v>2005 Apr–Dec</x:v>
      </x:c>
      <x:c r="H61" s="6" t="str">
        <x:v>system_all_channels</x:v>
      </x:c>
      <x:c r="I61" s="9" t="n">
        <x:v>0.8328804736937059</x:v>
      </x:c>
      <x:c r="J61" s="9" t="n">
        <x:v>0.9993655471300382</x:v>
      </x:c>
      <x:c r="K61" s="9" t="n">
        <x:v>0.9992070596833627</x:v>
      </x:c>
      <x:c r="L61" s="9" t="n">
        <x:v>1</x:v>
      </x:c>
      <x:c r="M61" s="6" t="n">
        <x:v>7</x:v>
      </x:c>
      <x:c r="N61" s="6" t="n">
        <x:v>0</x:v>
      </x:c>
      <x:c r="O61" s="6" t="n">
        <x:v>0</x:v>
      </x:c>
      <x:c r="P61" s="6" t="n">
        <x:v>7</x:v>
      </x:c>
      <x:c r="Q61" s="6" t="n">
        <x:v>7</x:v>
      </x:c>
      <x:c r="R61" s="6" t="n">
        <x:v>1</x:v>
      </x:c>
      <x:c r="S61" s="6" t="n">
        <x:v>5</x:v>
      </x:c>
      <x:c r="T61" s="6" t="n">
        <x:v>25000</x:v>
      </x:c>
      <x:c r="U61" s="8" t="n">
        <x:v>36526</x:v>
      </x:c>
      <x:c r="V61" s="8" t="n">
        <x:v>38353</x:v>
      </x:c>
      <x:c r="W61" s="8" t="n">
        <x:v>38353</x:v>
      </x:c>
      <x:c r="X61" s="8" t="n">
        <x:v>38443</x:v>
      </x:c>
      <x:c r="Y61" s="8" t="n">
        <x:v>38443</x:v>
      </x:c>
      <x:c r="Z61" s="8" t="n">
        <x:v>38718</x:v>
      </x:c>
      <x:c r="AA61" s="6" t="str">
        <x:v>[start,end)</x:v>
      </x:c>
      <x:c r="AB61" s="10" t="n">
        <x:v>15224.184</x:v>
      </x:c>
      <x:c r="AC61" s="10" t="n">
        <x:v>19199659.395</x:v>
      </x:c>
      <x:c r="AD61" s="9" t="n">
        <x:v>0.0007929403166373472</x:v>
      </x:c>
      <x:c r="AE61" s="9" t="n">
        <x:v>0</x:v>
      </x:c>
      <x:c r="AF61" s="9" t="n">
        <x:v>0.875</x:v>
      </x:c>
      <x:c r="AG61" s="6" t="str">
        <x:v>esa-ew-id-duration-v1</x:v>
      </x:c>
      <x:c r="AH61" s="6" t="str">
        <x:v>Real prepared telemetry + real annotations</x:v>
      </x:c>
      <x:c r="AI61" s="6" t="str">
        <x:v>Matched 5 epochs / 25,000 windows. One seed so far. Rolls remain in legacy branch.</x:v>
      </x:c>
      <x:c r="AJ61" s="6" t="str">
        <x:v>S049</x:v>
      </x:c>
    </x:row>
    <x:row r="62" ht="43" customHeight="1">
      <x:c r="A62" s="6" t="str">
        <x:v>R061</x:v>
      </x:c>
      <x:c r="B62" s="6" t="str">
        <x:v>No short rolls paired</x:v>
      </x:c>
      <x:c r="C62" s="6" t="str">
        <x:v>Short coordinated generator</x:v>
      </x:c>
      <x:c r="D62" s="6" t="str">
        <x:v>short_no_roll_seed42_v1</x:v>
      </x:c>
      <x:c r="E62" s="6" t="n">
        <x:v>42</x:v>
      </x:c>
      <x:c r="F62" s="6" t="str">
        <x:v>40, 41, 42, 43, 44, 45, 46, 47</x:v>
      </x:c>
      <x:c r="G62" s="6" t="str">
        <x:v>2005 Apr–Dec</x:v>
      </x:c>
      <x:c r="H62" s="6" t="str">
        <x:v>input_channels_40_47</x:v>
      </x:c>
      <x:c r="I62" s="9" t="n">
        <x:v>0.8328804736937059</x:v>
      </x:c>
      <x:c r="J62" s="9" t="n">
        <x:v>0.9993655471300382</x:v>
      </x:c>
      <x:c r="K62" s="9" t="n">
        <x:v>0.9992070596833627</x:v>
      </x:c>
      <x:c r="L62" s="9" t="n">
        <x:v>1</x:v>
      </x:c>
      <x:c r="M62" s="6" t="n">
        <x:v>7</x:v>
      </x:c>
      <x:c r="N62" s="6" t="n">
        <x:v>0</x:v>
      </x:c>
      <x:c r="O62" s="6" t="n">
        <x:v>0</x:v>
      </x:c>
      <x:c r="P62" s="6" t="n">
        <x:v>7</x:v>
      </x:c>
      <x:c r="Q62" s="6" t="n">
        <x:v>7</x:v>
      </x:c>
      <x:c r="R62" s="6" t="n">
        <x:v>1</x:v>
      </x:c>
      <x:c r="S62" s="6" t="n">
        <x:v>5</x:v>
      </x:c>
      <x:c r="T62" s="6" t="n">
        <x:v>25000</x:v>
      </x:c>
      <x:c r="U62" s="8" t="n">
        <x:v>36526</x:v>
      </x:c>
      <x:c r="V62" s="8" t="n">
        <x:v>38353</x:v>
      </x:c>
      <x:c r="W62" s="8" t="n">
        <x:v>38353</x:v>
      </x:c>
      <x:c r="X62" s="8" t="n">
        <x:v>38443</x:v>
      </x:c>
      <x:c r="Y62" s="8" t="n">
        <x:v>38443</x:v>
      </x:c>
      <x:c r="Z62" s="8" t="n">
        <x:v>38718</x:v>
      </x:c>
      <x:c r="AA62" s="6" t="str">
        <x:v>[start,end)</x:v>
      </x:c>
      <x:c r="AB62" s="10" t="n">
        <x:v>15224.184</x:v>
      </x:c>
      <x:c r="AC62" s="10" t="n">
        <x:v>19199659.395</x:v>
      </x:c>
      <x:c r="AD62" s="9" t="n">
        <x:v>0.0007929403166373472</x:v>
      </x:c>
      <x:c r="AE62" s="9" t="n">
        <x:v>0</x:v>
      </x:c>
      <x:c r="AF62" s="9" t="n">
        <x:v>1</x:v>
      </x:c>
      <x:c r="AG62" s="6" t="str">
        <x:v>esa-ew-id-duration-v1</x:v>
      </x:c>
      <x:c r="AH62" s="6" t="str">
        <x:v>Real prepared telemetry + real annotations</x:v>
      </x:c>
      <x:c r="AI62" s="6" t="str">
        <x:v>Matched 5 epochs / 25,000 windows. One seed so far. Rolls remain in legacy branch.</x:v>
      </x:c>
      <x:c r="AJ62" s="6" t="str">
        <x:v>S049</x:v>
      </x:c>
    </x:row>
    <x:row r="63" ht="43" customHeight="1">
      <x:c r="A63" s="6" t="str">
        <x:v>R062</x:v>
      </x:c>
      <x:c r="B63" s="6" t="str">
        <x:v>No short rolls paired</x:v>
      </x:c>
      <x:c r="C63" s="6" t="str">
        <x:v>Short generator without rolls</x:v>
      </x:c>
      <x:c r="D63" s="6" t="str">
        <x:v>short_no_roll_seed42_v1</x:v>
      </x:c>
      <x:c r="E63" s="6" t="n">
        <x:v>42</x:v>
      </x:c>
      <x:c r="F63" s="6" t="str">
        <x:v>40, 41, 42, 43, 44, 45, 46, 47</x:v>
      </x:c>
      <x:c r="G63" s="6" t="str">
        <x:v>2005 Apr–Dec</x:v>
      </x:c>
      <x:c r="H63" s="6" t="str">
        <x:v>system_all_channels</x:v>
      </x:c>
      <x:c r="I63" s="9" t="n">
        <x:v>0.8328804736937059</x:v>
      </x:c>
      <x:c r="J63" s="9" t="n">
        <x:v>0.9671852173337773</x:v>
      </x:c>
      <x:c r="K63" s="9" t="n">
        <x:v>0.9992570605703706</x:v>
      </x:c>
      <x:c r="L63" s="9" t="n">
        <x:v>0.8571428571428571</x:v>
      </x:c>
      <x:c r="M63" s="6" t="n">
        <x:v>6</x:v>
      </x:c>
      <x:c r="N63" s="6" t="n">
        <x:v>0</x:v>
      </x:c>
      <x:c r="O63" s="6" t="n">
        <x:v>1</x:v>
      </x:c>
      <x:c r="P63" s="6" t="n">
        <x:v>7</x:v>
      </x:c>
      <x:c r="Q63" s="6" t="n">
        <x:v>5</x:v>
      </x:c>
      <x:c r="R63" s="6" t="n">
        <x:v>1</x:v>
      </x:c>
      <x:c r="S63" s="6" t="n">
        <x:v>5</x:v>
      </x:c>
      <x:c r="T63" s="6" t="n">
        <x:v>25000</x:v>
      </x:c>
      <x:c r="U63" s="8" t="n">
        <x:v>36526</x:v>
      </x:c>
      <x:c r="V63" s="8" t="n">
        <x:v>38353</x:v>
      </x:c>
      <x:c r="W63" s="8" t="n">
        <x:v>38353</x:v>
      </x:c>
      <x:c r="X63" s="8" t="n">
        <x:v>38443</x:v>
      </x:c>
      <x:c r="Y63" s="8" t="n">
        <x:v>38443</x:v>
      </x:c>
      <x:c r="Z63" s="8" t="n">
        <x:v>38718</x:v>
      </x:c>
      <x:c r="AA63" s="6" t="str">
        <x:v>[start,end)</x:v>
      </x:c>
      <x:c r="AB63" s="10" t="n">
        <x:v>14264.184</x:v>
      </x:c>
      <x:c r="AC63" s="10" t="n">
        <x:v>19199659.395</x:v>
      </x:c>
      <x:c r="AD63" s="9" t="n">
        <x:v>0.0007429394296294412</x:v>
      </x:c>
      <x:c r="AE63" s="9" t="n">
        <x:v>0</x:v>
      </x:c>
      <x:c r="AF63" s="9" t="n">
        <x:v>1</x:v>
      </x:c>
      <x:c r="AG63" s="6" t="str">
        <x:v>esa-ew-id-duration-v1</x:v>
      </x:c>
      <x:c r="AH63" s="6" t="str">
        <x:v>Real prepared telemetry + real annotations</x:v>
      </x:c>
      <x:c r="AI63" s="6" t="str">
        <x:v>Matched 5 epochs / 25,000 windows. One seed so far. Rolls remain in legacy branch.</x:v>
      </x:c>
      <x:c r="AJ63" s="6" t="str">
        <x:v>S049</x:v>
      </x:c>
    </x:row>
    <x:row r="64" ht="43" customHeight="1">
      <x:c r="A64" s="6" t="str">
        <x:v>R063</x:v>
      </x:c>
      <x:c r="B64" s="6" t="str">
        <x:v>No short rolls paired</x:v>
      </x:c>
      <x:c r="C64" s="6" t="str">
        <x:v>Short generator without rolls</x:v>
      </x:c>
      <x:c r="D64" s="6" t="str">
        <x:v>short_no_roll_seed42_v1</x:v>
      </x:c>
      <x:c r="E64" s="6" t="n">
        <x:v>42</x:v>
      </x:c>
      <x:c r="F64" s="6" t="str">
        <x:v>40, 41, 42, 43, 44, 45, 46, 47</x:v>
      </x:c>
      <x:c r="G64" s="6" t="str">
        <x:v>2005 Apr–Dec</x:v>
      </x:c>
      <x:c r="H64" s="6" t="str">
        <x:v>input_channels_40_47</x:v>
      </x:c>
      <x:c r="I64" s="9" t="n">
        <x:v>0.8328804736937059</x:v>
      </x:c>
      <x:c r="J64" s="9" t="n">
        <x:v>0.9254162671072164</x:v>
      </x:c>
      <x:c r="K64" s="9" t="n">
        <x:v>0.9992570605703706</x:v>
      </x:c>
      <x:c r="L64" s="9" t="n">
        <x:v>0.7142857142857143</x:v>
      </x:c>
      <x:c r="M64" s="6" t="n">
        <x:v>5</x:v>
      </x:c>
      <x:c r="N64" s="6" t="n">
        <x:v>0</x:v>
      </x:c>
      <x:c r="O64" s="6" t="n">
        <x:v>2</x:v>
      </x:c>
      <x:c r="P64" s="6" t="n">
        <x:v>7</x:v>
      </x:c>
      <x:c r="Q64" s="6" t="n">
        <x:v>5</x:v>
      </x:c>
      <x:c r="R64" s="6" t="n">
        <x:v>1</x:v>
      </x:c>
      <x:c r="S64" s="6" t="n">
        <x:v>5</x:v>
      </x:c>
      <x:c r="T64" s="6" t="n">
        <x:v>25000</x:v>
      </x:c>
      <x:c r="U64" s="8" t="n">
        <x:v>36526</x:v>
      </x:c>
      <x:c r="V64" s="8" t="n">
        <x:v>38353</x:v>
      </x:c>
      <x:c r="W64" s="8" t="n">
        <x:v>38353</x:v>
      </x:c>
      <x:c r="X64" s="8" t="n">
        <x:v>38443</x:v>
      </x:c>
      <x:c r="Y64" s="8" t="n">
        <x:v>38443</x:v>
      </x:c>
      <x:c r="Z64" s="8" t="n">
        <x:v>38718</x:v>
      </x:c>
      <x:c r="AA64" s="6" t="str">
        <x:v>[start,end)</x:v>
      </x:c>
      <x:c r="AB64" s="10" t="n">
        <x:v>14264.184</x:v>
      </x:c>
      <x:c r="AC64" s="10" t="n">
        <x:v>19199659.395</x:v>
      </x:c>
      <x:c r="AD64" s="9" t="n">
        <x:v>0.0007429394296294412</x:v>
      </x:c>
      <x:c r="AE64" s="9" t="n">
        <x:v>0</x:v>
      </x:c>
      <x:c r="AF64" s="9" t="n">
        <x:v>1</x:v>
      </x:c>
      <x:c r="AG64" s="6" t="str">
        <x:v>esa-ew-id-duration-v1</x:v>
      </x:c>
      <x:c r="AH64" s="6" t="str">
        <x:v>Real prepared telemetry + real annotations</x:v>
      </x:c>
      <x:c r="AI64" s="6" t="str">
        <x:v>Matched 5 epochs / 25,000 windows. One seed so far. Rolls remain in legacy branch.</x:v>
      </x:c>
      <x:c r="AJ64" s="6" t="str">
        <x:v>S049</x:v>
      </x:c>
    </x:row>
    <x:row r="65" ht="43" customHeight="1">
      <x:c r="A65" s="6" t="str">
        <x:v>R064</x:v>
      </x:c>
      <x:c r="B65" s="6" t="str">
        <x:v>Masking paired</x:v>
      </x:c>
      <x:c r="C65" s="6" t="str">
        <x:v>Unmasked control</x:v>
      </x:c>
      <x:c r="D65" s="6" t="str">
        <x:v>masked-pilot-2003-2026-09-24</x:v>
      </x:c>
      <x:c r="E65" s="6" t="n">
        <x:v>42</x:v>
      </x:c>
      <x:c r="F65" s="6" t="str">
        <x:v>40, 41, 42, 43, 44, 45, 46, 47</x:v>
      </x:c>
      <x:c r="G65" s="6" t="str">
        <x:v>2003 Apr–Dec</x:v>
      </x:c>
      <x:c r="H65" s="6" t="str">
        <x:v>input_channels_40_47</x:v>
      </x:c>
      <x:c r="I65" s="9" t="n">
        <x:v>0.7142857142857143</x:v>
      </x:c>
      <x:c r="J65" s="9" t="n">
        <x:v>0.7142857142857143</x:v>
      </x:c>
      <x:c r="K65" s="9" t="n">
        <x:v>1</x:v>
      </x:c>
      <x:c r="L65" s="9" t="n">
        <x:v>0.3333333333333333</x:v>
      </x:c>
      <x:c r="M65" s="6" t="n">
        <x:v>2</x:v>
      </x:c>
      <x:c r="N65" s="6" t="n">
        <x:v>0</x:v>
      </x:c>
      <x:c r="O65" s="6" t="n">
        <x:v>4</x:v>
      </x:c>
      <x:c r="P65" s="6" t="n">
        <x:v>6</x:v>
      </x:c>
      <x:c r="Q65" s="6" t="n">
        <x:v>3</x:v>
      </x:c>
      <x:c r="R65" s="6" t="n">
        <x:v>1</x:v>
      </x:c>
      <x:c r="S65" s="6" t="n">
        <x:v>5</x:v>
      </x:c>
      <x:c r="T65" s="6" t="n">
        <x:v>25000</x:v>
      </x:c>
      <x:c r="U65" s="8" t="n">
        <x:v>36526</x:v>
      </x:c>
      <x:c r="V65" s="8" t="n">
        <x:v>37622</x:v>
      </x:c>
      <x:c r="W65" s="8" t="n">
        <x:v>37622</x:v>
      </x:c>
      <x:c r="X65" s="8" t="n">
        <x:v>37712</x:v>
      </x:c>
      <x:c r="Y65" s="8" t="n">
        <x:v>37712</x:v>
      </x:c>
      <x:c r="Z65" s="8" t="n">
        <x:v>37987</x:v>
      </x:c>
      <x:c r="AA65" s="6" t="str">
        <x:v>[start,end)</x:v>
      </x:c>
      <x:c r="AB65" s="10" t="n">
        <x:v>0</x:v>
      </x:c>
      <x:c r="AC65" s="10" t="n">
        <x:v>21981260.799</x:v>
      </x:c>
      <x:c r="AD65" s="9" t="n">
        <x:v>0</x:v>
      </x:c>
      <x:c r="AE65" s="9" t="n">
        <x:v>0</x:v>
      </x:c>
      <x:c r="AF65" s="9" t="n">
        <x:v>0.6666666666666666</x:v>
      </x:c>
      <x:c r="AG65" s="6" t="str">
        <x:v>esa-ew-id-duration-v1</x:v>
      </x:c>
      <x:c r="AH65" s="6" t="str">
        <x:v>Real prepared telemetry + real annotations</x:v>
      </x:c>
      <x:c r="AI65" s="6" t="str">
        <x:v>Real targets. Hidden inputs are part of inference. Four passes for masked arm.</x:v>
      </x:c>
      <x:c r="AJ65" s="6" t="str">
        <x:v>S057</x:v>
      </x:c>
    </x:row>
    <x:row r="66" ht="43" customHeight="1">
      <x:c r="A66" s="6" t="str">
        <x:v>R065</x:v>
      </x:c>
      <x:c r="B66" s="6" t="str">
        <x:v>Masking paired</x:v>
      </x:c>
      <x:c r="C66" s="6" t="str">
        <x:v>Unmasked control</x:v>
      </x:c>
      <x:c r="D66" s="6" t="str">
        <x:v>masked-pilot-2003-2026-09-24</x:v>
      </x:c>
      <x:c r="E66" s="6" t="n">
        <x:v>42</x:v>
      </x:c>
      <x:c r="F66" s="6" t="str">
        <x:v>40, 41, 42, 43, 44, 45, 46, 47</x:v>
      </x:c>
      <x:c r="G66" s="6" t="str">
        <x:v>2003 Apr–Dec</x:v>
      </x:c>
      <x:c r="H66" s="6" t="str">
        <x:v>system_all_channels</x:v>
      </x:c>
      <x:c r="I66" s="9" t="n">
        <x:v>0.7142857142857143</x:v>
      </x:c>
      <x:c r="J66" s="9" t="n">
        <x:v>0.7142857142857143</x:v>
      </x:c>
      <x:c r="K66" s="9" t="n">
        <x:v>1</x:v>
      </x:c>
      <x:c r="L66" s="9" t="n">
        <x:v>0.3333333333333333</x:v>
      </x:c>
      <x:c r="M66" s="6" t="n">
        <x:v>2</x:v>
      </x:c>
      <x:c r="N66" s="6" t="n">
        <x:v>0</x:v>
      </x:c>
      <x:c r="O66" s="6" t="n">
        <x:v>4</x:v>
      </x:c>
      <x:c r="P66" s="6" t="n">
        <x:v>6</x:v>
      </x:c>
      <x:c r="Q66" s="6" t="n">
        <x:v>3</x:v>
      </x:c>
      <x:c r="R66" s="6" t="n">
        <x:v>1</x:v>
      </x:c>
      <x:c r="S66" s="6" t="n">
        <x:v>5</x:v>
      </x:c>
      <x:c r="T66" s="6" t="n">
        <x:v>25000</x:v>
      </x:c>
      <x:c r="U66" s="8" t="n">
        <x:v>36526</x:v>
      </x:c>
      <x:c r="V66" s="8" t="n">
        <x:v>37622</x:v>
      </x:c>
      <x:c r="W66" s="8" t="n">
        <x:v>37622</x:v>
      </x:c>
      <x:c r="X66" s="8" t="n">
        <x:v>37712</x:v>
      </x:c>
      <x:c r="Y66" s="8" t="n">
        <x:v>37712</x:v>
      </x:c>
      <x:c r="Z66" s="8" t="n">
        <x:v>37987</x:v>
      </x:c>
      <x:c r="AA66" s="6" t="str">
        <x:v>[start,end)</x:v>
      </x:c>
      <x:c r="AB66" s="10" t="n">
        <x:v>0</x:v>
      </x:c>
      <x:c r="AC66" s="10" t="n">
        <x:v>21981260.799</x:v>
      </x:c>
      <x:c r="AD66" s="9" t="n">
        <x:v>0</x:v>
      </x:c>
      <x:c r="AE66" s="9" t="n">
        <x:v>0</x:v>
      </x:c>
      <x:c r="AF66" s="9" t="n">
        <x:v>0.6666666666666666</x:v>
      </x:c>
      <x:c r="AG66" s="6" t="str">
        <x:v>esa-ew-id-duration-v1</x:v>
      </x:c>
      <x:c r="AH66" s="6" t="str">
        <x:v>Real prepared telemetry + real annotations</x:v>
      </x:c>
      <x:c r="AI66" s="6" t="str">
        <x:v>Real targets. Hidden inputs are part of inference. Four passes for masked arm.</x:v>
      </x:c>
      <x:c r="AJ66" s="6" t="str">
        <x:v>S057</x:v>
      </x:c>
    </x:row>
    <x:row r="67" ht="43" customHeight="1">
      <x:c r="A67" s="6" t="str">
        <x:v>R066</x:v>
      </x:c>
      <x:c r="B67" s="6" t="str">
        <x:v>Masking paired</x:v>
      </x:c>
      <x:c r="C67" s="6" t="str">
        <x:v>Masked reconstruction</x:v>
      </x:c>
      <x:c r="D67" s="6" t="str">
        <x:v>masked-pilot-2003-2026-09-24</x:v>
      </x:c>
      <x:c r="E67" s="6" t="n">
        <x:v>42</x:v>
      </x:c>
      <x:c r="F67" s="6" t="str">
        <x:v>40, 41, 42, 43, 44, 45, 46, 47</x:v>
      </x:c>
      <x:c r="G67" s="6" t="str">
        <x:v>2003 Apr–Dec</x:v>
      </x:c>
      <x:c r="H67" s="6" t="str">
        <x:v>input_channels_40_47</x:v>
      </x:c>
      <x:c r="I67" s="9" t="n">
        <x:v>0.7142857142857143</x:v>
      </x:c>
      <x:c r="J67" s="9" t="n">
        <x:v>0.9088528102827063</x:v>
      </x:c>
      <x:c r="K67" s="9" t="n">
        <x:v>0.9996399109190152</x:v>
      </x:c>
      <x:c r="L67" s="9" t="n">
        <x:v>0.6666666666666666</x:v>
      </x:c>
      <x:c r="M67" s="6" t="n">
        <x:v>4</x:v>
      </x:c>
      <x:c r="N67" s="6" t="n">
        <x:v>0</x:v>
      </x:c>
      <x:c r="O67" s="6" t="n">
        <x:v>2</x:v>
      </x:c>
      <x:c r="P67" s="6" t="n">
        <x:v>6</x:v>
      </x:c>
      <x:c r="Q67" s="6" t="n">
        <x:v>3</x:v>
      </x:c>
      <x:c r="R67" s="6" t="n">
        <x:v>1</x:v>
      </x:c>
      <x:c r="S67" s="6" t="n">
        <x:v>5</x:v>
      </x:c>
      <x:c r="T67" s="6" t="n">
        <x:v>25000</x:v>
      </x:c>
      <x:c r="U67" s="8" t="n">
        <x:v>36526</x:v>
      </x:c>
      <x:c r="V67" s="8" t="n">
        <x:v>37622</x:v>
      </x:c>
      <x:c r="W67" s="8" t="n">
        <x:v>37622</x:v>
      </x:c>
      <x:c r="X67" s="8" t="n">
        <x:v>37712</x:v>
      </x:c>
      <x:c r="Y67" s="8" t="n">
        <x:v>37712</x:v>
      </x:c>
      <x:c r="Z67" s="8" t="n">
        <x:v>37987</x:v>
      </x:c>
      <x:c r="AA67" s="6" t="str">
        <x:v>[start,end)</x:v>
      </x:c>
      <x:c r="AB67" s="10" t="n">
        <x:v>7915.212</x:v>
      </x:c>
      <x:c r="AC67" s="10" t="n">
        <x:v>21981260.799</x:v>
      </x:c>
      <x:c r="AD67" s="9" t="n">
        <x:v>0.00036008908098483783</x:v>
      </x:c>
      <x:c r="AE67" s="9" t="n">
        <x:v>0</x:v>
      </x:c>
      <x:c r="AF67" s="9" t="n">
        <x:v>1</x:v>
      </x:c>
      <x:c r="AG67" s="6" t="str">
        <x:v>esa-ew-id-duration-v1</x:v>
      </x:c>
      <x:c r="AH67" s="6" t="str">
        <x:v>Real prepared telemetry + real annotations</x:v>
      </x:c>
      <x:c r="AI67" s="6" t="str">
        <x:v>Real targets. Hidden inputs are part of inference. Four passes for masked arm.</x:v>
      </x:c>
      <x:c r="AJ67" s="6" t="str">
        <x:v>S057</x:v>
      </x:c>
    </x:row>
    <x:row r="68" ht="43" customHeight="1">
      <x:c r="A68" s="6" t="str">
        <x:v>R067</x:v>
      </x:c>
      <x:c r="B68" s="6" t="str">
        <x:v>Masking paired</x:v>
      </x:c>
      <x:c r="C68" s="6" t="str">
        <x:v>Masked reconstruction</x:v>
      </x:c>
      <x:c r="D68" s="6" t="str">
        <x:v>masked-pilot-2003-2026-09-24</x:v>
      </x:c>
      <x:c r="E68" s="6" t="n">
        <x:v>42</x:v>
      </x:c>
      <x:c r="F68" s="6" t="str">
        <x:v>40, 41, 42, 43, 44, 45, 46, 47</x:v>
      </x:c>
      <x:c r="G68" s="6" t="str">
        <x:v>2003 Apr–Dec</x:v>
      </x:c>
      <x:c r="H68" s="6" t="str">
        <x:v>system_all_channels</x:v>
      </x:c>
      <x:c r="I68" s="9" t="n">
        <x:v>0.7142857142857143</x:v>
      </x:c>
      <x:c r="J68" s="9" t="n">
        <x:v>0.9088528102827063</x:v>
      </x:c>
      <x:c r="K68" s="9" t="n">
        <x:v>0.9996399109190152</x:v>
      </x:c>
      <x:c r="L68" s="9" t="n">
        <x:v>0.6666666666666666</x:v>
      </x:c>
      <x:c r="M68" s="6" t="n">
        <x:v>4</x:v>
      </x:c>
      <x:c r="N68" s="6" t="n">
        <x:v>0</x:v>
      </x:c>
      <x:c r="O68" s="6" t="n">
        <x:v>2</x:v>
      </x:c>
      <x:c r="P68" s="6" t="n">
        <x:v>6</x:v>
      </x:c>
      <x:c r="Q68" s="6" t="n">
        <x:v>3</x:v>
      </x:c>
      <x:c r="R68" s="6" t="n">
        <x:v>1</x:v>
      </x:c>
      <x:c r="S68" s="6" t="n">
        <x:v>5</x:v>
      </x:c>
      <x:c r="T68" s="6" t="n">
        <x:v>25000</x:v>
      </x:c>
      <x:c r="U68" s="8" t="n">
        <x:v>36526</x:v>
      </x:c>
      <x:c r="V68" s="8" t="n">
        <x:v>37622</x:v>
      </x:c>
      <x:c r="W68" s="8" t="n">
        <x:v>37622</x:v>
      </x:c>
      <x:c r="X68" s="8" t="n">
        <x:v>37712</x:v>
      </x:c>
      <x:c r="Y68" s="8" t="n">
        <x:v>37712</x:v>
      </x:c>
      <x:c r="Z68" s="8" t="n">
        <x:v>37987</x:v>
      </x:c>
      <x:c r="AA68" s="6" t="str">
        <x:v>[start,end)</x:v>
      </x:c>
      <x:c r="AB68" s="10" t="n">
        <x:v>7915.212</x:v>
      </x:c>
      <x:c r="AC68" s="10" t="n">
        <x:v>21981260.799</x:v>
      </x:c>
      <x:c r="AD68" s="9" t="n">
        <x:v>0.00036008908098483783</x:v>
      </x:c>
      <x:c r="AE68" s="9" t="n">
        <x:v>0</x:v>
      </x:c>
      <x:c r="AF68" s="9" t="n">
        <x:v>1</x:v>
      </x:c>
      <x:c r="AG68" s="6" t="str">
        <x:v>esa-ew-id-duration-v1</x:v>
      </x:c>
      <x:c r="AH68" s="6" t="str">
        <x:v>Real prepared telemetry + real annotations</x:v>
      </x:c>
      <x:c r="AI68" s="6" t="str">
        <x:v>Real targets. Hidden inputs are part of inference. Four passes for masked arm.</x:v>
      </x:c>
      <x:c r="AJ68" s="6" t="str">
        <x:v>S057</x:v>
      </x:c>
    </x:row>
    <x:row r="69" ht="43" customHeight="1">
      <x:c r="A69" s="6" t="str">
        <x:v>R068</x:v>
      </x:c>
      <x:c r="B69" s="6" t="str">
        <x:v>Masking paired</x:v>
      </x:c>
      <x:c r="C69" s="6" t="str">
        <x:v>Unmasked control</x:v>
      </x:c>
      <x:c r="D69" s="6" t="str">
        <x:v>masked_pilot_2004_2005_seed42_v2</x:v>
      </x:c>
      <x:c r="E69" s="6" t="n">
        <x:v>42</x:v>
      </x:c>
      <x:c r="F69" s="6" t="str">
        <x:v>40, 41, 42, 43, 44, 45, 46, 47</x:v>
      </x:c>
      <x:c r="G69" s="6" t="str">
        <x:v>2004 Apr–Dec</x:v>
      </x:c>
      <x:c r="H69" s="6" t="str">
        <x:v>system_all_channels</x:v>
      </x:c>
      <x:c r="I69" s="9" t="n">
        <x:v>1</x:v>
      </x:c>
      <x:c r="J69" s="9" t="n">
        <x:v>0.5946082229040464</x:v>
      </x:c>
      <x:c r="K69" s="9" t="n">
        <x:v>0.624132244141728</x:v>
      </x:c>
      <x:c r="L69" s="9" t="n">
        <x:v>0.5</x:v>
      </x:c>
      <x:c r="M69" s="6" t="n">
        <x:v>5</x:v>
      </x:c>
      <x:c r="N69" s="6" t="n">
        <x:v>3</x:v>
      </x:c>
      <x:c r="O69" s="6" t="n">
        <x:v>5</x:v>
      </x:c>
      <x:c r="P69" s="6" t="n">
        <x:v>10</x:v>
      </x:c>
      <x:c r="Q69" s="6" t="n">
        <x:v>8</x:v>
      </x:c>
      <x:c r="R69" s="6" t="n">
        <x:v>1</x:v>
      </x:c>
      <x:c r="S69" s="6" t="n">
        <x:v>5</x:v>
      </x:c>
      <x:c r="T69" s="6" t="n">
        <x:v>25000</x:v>
      </x:c>
      <x:c r="U69" s="8" t="n">
        <x:v>36526</x:v>
      </x:c>
      <x:c r="V69" s="8" t="n">
        <x:v>37987</x:v>
      </x:c>
      <x:c r="W69" s="8" t="n">
        <x:v>37987</x:v>
      </x:c>
      <x:c r="X69" s="8" t="n">
        <x:v>38078</x:v>
      </x:c>
      <x:c r="Y69" s="8" t="n">
        <x:v>38078</x:v>
      </x:c>
      <x:c r="Z69" s="8" t="n">
        <x:v>38353</x:v>
      </x:c>
      <x:c r="AA69" s="6" t="str">
        <x:v>[start,end)</x:v>
      </x:c>
      <x:c r="AB69" s="10" t="n">
        <x:v>29790</x:v>
      </x:c>
      <x:c r="AC69" s="10" t="n">
        <x:v>21456207.783</x:v>
      </x:c>
      <x:c r="AD69" s="9" t="n">
        <x:v>0.0013884093732352554</x:v>
      </x:c>
      <x:c r="AE69" s="9" t="n">
        <x:v>0.010909104683212984</x:v>
      </x:c>
      <x:c r="AF69" s="9" t="n">
        <x:v>1</x:v>
      </x:c>
      <x:c r="AG69" s="6" t="str">
        <x:v>esa-ew-id-duration-v1</x:v>
      </x:c>
      <x:c r="AH69" s="6" t="str">
        <x:v>Real prepared telemetry + real annotations</x:v>
      </x:c>
      <x:c r="AI69" s="6" t="str">
        <x:v>Matched 5 epochs / 25,000 windows. Four passes for masked arm.</x:v>
      </x:c>
      <x:c r="AJ69" s="6" t="str">
        <x:v>S059</x:v>
      </x:c>
    </x:row>
    <x:row r="70" ht="43" customHeight="1">
      <x:c r="A70" s="6" t="str">
        <x:v>R069</x:v>
      </x:c>
      <x:c r="B70" s="6" t="str">
        <x:v>Masking paired</x:v>
      </x:c>
      <x:c r="C70" s="6" t="str">
        <x:v>Unmasked control</x:v>
      </x:c>
      <x:c r="D70" s="6" t="str">
        <x:v>masked_pilot_2004_2005_seed42_v2</x:v>
      </x:c>
      <x:c r="E70" s="6" t="n">
        <x:v>42</x:v>
      </x:c>
      <x:c r="F70" s="6" t="str">
        <x:v>40, 41, 42, 43, 44, 45, 46, 47</x:v>
      </x:c>
      <x:c r="G70" s="6" t="str">
        <x:v>2004 Apr–Dec</x:v>
      </x:c>
      <x:c r="H70" s="6" t="str">
        <x:v>input_channels_40_47</x:v>
      </x:c>
      <x:c r="I70" s="9" t="n">
        <x:v>1</x:v>
      </x:c>
      <x:c r="J70" s="9" t="n">
        <x:v>0.6402951976576301</x:v>
      </x:c>
      <x:c r="K70" s="9" t="n">
        <x:v>0.624132244141728</x:v>
      </x:c>
      <x:c r="L70" s="9" t="n">
        <x:v>0.7142857142857143</x:v>
      </x:c>
      <x:c r="M70" s="6" t="n">
        <x:v>5</x:v>
      </x:c>
      <x:c r="N70" s="6" t="n">
        <x:v>3</x:v>
      </x:c>
      <x:c r="O70" s="6" t="n">
        <x:v>2</x:v>
      </x:c>
      <x:c r="P70" s="6" t="n">
        <x:v>7</x:v>
      </x:c>
      <x:c r="Q70" s="6" t="n">
        <x:v>8</x:v>
      </x:c>
      <x:c r="R70" s="6" t="n">
        <x:v>1</x:v>
      </x:c>
      <x:c r="S70" s="6" t="n">
        <x:v>5</x:v>
      </x:c>
      <x:c r="T70" s="6" t="n">
        <x:v>25000</x:v>
      </x:c>
      <x:c r="U70" s="8" t="n">
        <x:v>36526</x:v>
      </x:c>
      <x:c r="V70" s="8" t="n">
        <x:v>37987</x:v>
      </x:c>
      <x:c r="W70" s="8" t="n">
        <x:v>37987</x:v>
      </x:c>
      <x:c r="X70" s="8" t="n">
        <x:v>38078</x:v>
      </x:c>
      <x:c r="Y70" s="8" t="n">
        <x:v>38078</x:v>
      </x:c>
      <x:c r="Z70" s="8" t="n">
        <x:v>38353</x:v>
      </x:c>
      <x:c r="AA70" s="6" t="str">
        <x:v>[start,end)</x:v>
      </x:c>
      <x:c r="AB70" s="10" t="n">
        <x:v>29790</x:v>
      </x:c>
      <x:c r="AC70" s="10" t="n">
        <x:v>21456207.783</x:v>
      </x:c>
      <x:c r="AD70" s="9" t="n">
        <x:v>0.0013884093732352554</x:v>
      </x:c>
      <x:c r="AE70" s="9" t="n">
        <x:v>0.010909104683212984</x:v>
      </x:c>
      <x:c r="AF70" s="9" t="n">
        <x:v>1</x:v>
      </x:c>
      <x:c r="AG70" s="6" t="str">
        <x:v>esa-ew-id-duration-v1</x:v>
      </x:c>
      <x:c r="AH70" s="6" t="str">
        <x:v>Real prepared telemetry + real annotations</x:v>
      </x:c>
      <x:c r="AI70" s="6" t="str">
        <x:v>Matched 5 epochs / 25,000 windows. Four passes for masked arm.</x:v>
      </x:c>
      <x:c r="AJ70" s="6" t="str">
        <x:v>S059</x:v>
      </x:c>
    </x:row>
    <x:row r="71" ht="43" customHeight="1">
      <x:c r="A71" s="6" t="str">
        <x:v>R070</x:v>
      </x:c>
      <x:c r="B71" s="6" t="str">
        <x:v>Masking paired</x:v>
      </x:c>
      <x:c r="C71" s="6" t="str">
        <x:v>Masked reconstruction</x:v>
      </x:c>
      <x:c r="D71" s="6" t="str">
        <x:v>masked_pilot_2004_2005_seed42_v2</x:v>
      </x:c>
      <x:c r="E71" s="6" t="n">
        <x:v>42</x:v>
      </x:c>
      <x:c r="F71" s="6" t="str">
        <x:v>40, 41, 42, 43, 44, 45, 46, 47</x:v>
      </x:c>
      <x:c r="G71" s="6" t="str">
        <x:v>2004 Apr–Dec</x:v>
      </x:c>
      <x:c r="H71" s="6" t="str">
        <x:v>system_all_channels</x:v>
      </x:c>
      <x:c r="I71" s="9" t="n">
        <x:v>0.17161620419178172</x:v>
      </x:c>
      <x:c r="J71" s="9" t="n">
        <x:v>0.09040889286198046</x:v>
      </x:c>
      <x:c r="K71" s="9" t="n">
        <x:v>0.07575141507438617</x:v>
      </x:c>
      <x:c r="L71" s="9" t="n">
        <x:v>0.4</x:v>
      </x:c>
      <x:c r="M71" s="6" t="n">
        <x:v>4</x:v>
      </x:c>
      <x:c r="N71" s="6" t="n">
        <x:v>48</x:v>
      </x:c>
      <x:c r="O71" s="6" t="n">
        <x:v>6</x:v>
      </x:c>
      <x:c r="P71" s="6" t="n">
        <x:v>10</x:v>
      </x:c>
      <x:c r="Q71" s="6" t="n">
        <x:v>60</x:v>
      </x:c>
      <x:c r="R71" s="6" t="n">
        <x:v>1</x:v>
      </x:c>
      <x:c r="S71" s="6" t="n">
        <x:v>5</x:v>
      </x:c>
      <x:c r="T71" s="6" t="n">
        <x:v>25000</x:v>
      </x:c>
      <x:c r="U71" s="8" t="n">
        <x:v>36526</x:v>
      </x:c>
      <x:c r="V71" s="8" t="n">
        <x:v>37987</x:v>
      </x:c>
      <x:c r="W71" s="8" t="n">
        <x:v>37987</x:v>
      </x:c>
      <x:c r="X71" s="8" t="n">
        <x:v>38078</x:v>
      </x:c>
      <x:c r="Y71" s="8" t="n">
        <x:v>38078</x:v>
      </x:c>
      <x:c r="Z71" s="8" t="n">
        <x:v>38353</x:v>
      </x:c>
      <x:c r="AA71" s="6" t="str">
        <x:v>[start,end)</x:v>
      </x:c>
      <x:c r="AB71" s="10" t="n">
        <x:v>326812.461</x:v>
      </x:c>
      <x:c r="AC71" s="10" t="n">
        <x:v>21456207.783</x:v>
      </x:c>
      <x:c r="AD71" s="9" t="n">
        <x:v>0.015231604032979962</x:v>
      </x:c>
      <x:c r="AE71" s="9" t="n">
        <x:v>0.17454567493140774</x:v>
      </x:c>
      <x:c r="AF71" s="9" t="n">
        <x:v>0.3333333333333333</x:v>
      </x:c>
      <x:c r="AG71" s="6" t="str">
        <x:v>esa-ew-id-duration-v1</x:v>
      </x:c>
      <x:c r="AH71" s="6" t="str">
        <x:v>Real prepared telemetry + real annotations</x:v>
      </x:c>
      <x:c r="AI71" s="6" t="str">
        <x:v>Matched 5 epochs / 25,000 windows. Four passes for masked arm.</x:v>
      </x:c>
      <x:c r="AJ71" s="6" t="str">
        <x:v>S059</x:v>
      </x:c>
    </x:row>
    <x:row r="72" ht="43" customHeight="1">
      <x:c r="A72" s="6" t="str">
        <x:v>R071</x:v>
      </x:c>
      <x:c r="B72" s="6" t="str">
        <x:v>Masking paired</x:v>
      </x:c>
      <x:c r="C72" s="6" t="str">
        <x:v>Masked reconstruction</x:v>
      </x:c>
      <x:c r="D72" s="6" t="str">
        <x:v>masked_pilot_2004_2005_seed42_v2</x:v>
      </x:c>
      <x:c r="E72" s="6" t="n">
        <x:v>42</x:v>
      </x:c>
      <x:c r="F72" s="6" t="str">
        <x:v>40, 41, 42, 43, 44, 45, 46, 47</x:v>
      </x:c>
      <x:c r="G72" s="6" t="str">
        <x:v>2004 Apr–Dec</x:v>
      </x:c>
      <x:c r="H72" s="6" t="str">
        <x:v>input_channels_40_47</x:v>
      </x:c>
      <x:c r="I72" s="9" t="n">
        <x:v>0.17161620419178172</x:v>
      </x:c>
      <x:c r="J72" s="9" t="n">
        <x:v>0.09165181371296774</x:v>
      </x:c>
      <x:c r="K72" s="9" t="n">
        <x:v>0.07575141507438617</x:v>
      </x:c>
      <x:c r="L72" s="9" t="n">
        <x:v>0.5714285714285714</x:v>
      </x:c>
      <x:c r="M72" s="6" t="n">
        <x:v>4</x:v>
      </x:c>
      <x:c r="N72" s="6" t="n">
        <x:v>48</x:v>
      </x:c>
      <x:c r="O72" s="6" t="n">
        <x:v>3</x:v>
      </x:c>
      <x:c r="P72" s="6" t="n">
        <x:v>7</x:v>
      </x:c>
      <x:c r="Q72" s="6" t="n">
        <x:v>60</x:v>
      </x:c>
      <x:c r="R72" s="6" t="n">
        <x:v>1</x:v>
      </x:c>
      <x:c r="S72" s="6" t="n">
        <x:v>5</x:v>
      </x:c>
      <x:c r="T72" s="6" t="n">
        <x:v>25000</x:v>
      </x:c>
      <x:c r="U72" s="8" t="n">
        <x:v>36526</x:v>
      </x:c>
      <x:c r="V72" s="8" t="n">
        <x:v>37987</x:v>
      </x:c>
      <x:c r="W72" s="8" t="n">
        <x:v>37987</x:v>
      </x:c>
      <x:c r="X72" s="8" t="n">
        <x:v>38078</x:v>
      </x:c>
      <x:c r="Y72" s="8" t="n">
        <x:v>38078</x:v>
      </x:c>
      <x:c r="Z72" s="8" t="n">
        <x:v>38353</x:v>
      </x:c>
      <x:c r="AA72" s="6" t="str">
        <x:v>[start,end)</x:v>
      </x:c>
      <x:c r="AB72" s="10" t="n">
        <x:v>326812.461</x:v>
      </x:c>
      <x:c r="AC72" s="10" t="n">
        <x:v>21456207.783</x:v>
      </x:c>
      <x:c r="AD72" s="9" t="n">
        <x:v>0.015231604032979962</x:v>
      </x:c>
      <x:c r="AE72" s="9" t="n">
        <x:v>0.17454567493140774</x:v>
      </x:c>
      <x:c r="AF72" s="9" t="n">
        <x:v>0.3333333333333333</x:v>
      </x:c>
      <x:c r="AG72" s="6" t="str">
        <x:v>esa-ew-id-duration-v1</x:v>
      </x:c>
      <x:c r="AH72" s="6" t="str">
        <x:v>Real prepared telemetry + real annotations</x:v>
      </x:c>
      <x:c r="AI72" s="6" t="str">
        <x:v>Matched 5 epochs / 25,000 windows. Four passes for masked arm.</x:v>
      </x:c>
      <x:c r="AJ72" s="6" t="str">
        <x:v>S059</x:v>
      </x:c>
    </x:row>
    <x:row r="73" ht="43" customHeight="1">
      <x:c r="A73" s="6" t="str">
        <x:v>R072</x:v>
      </x:c>
      <x:c r="B73" s="6" t="str">
        <x:v>Masking paired</x:v>
      </x:c>
      <x:c r="C73" s="6" t="str">
        <x:v>Unmasked control</x:v>
      </x:c>
      <x:c r="D73" s="6" t="str">
        <x:v>masked_pilot_2004_2005_seed42_v2</x:v>
      </x:c>
      <x:c r="E73" s="6" t="n">
        <x:v>42</x:v>
      </x:c>
      <x:c r="F73" s="6" t="str">
        <x:v>40, 41, 42, 43, 44, 45, 46, 47</x:v>
      </x:c>
      <x:c r="G73" s="6" t="str">
        <x:v>2005 Apr–Dec</x:v>
      </x:c>
      <x:c r="H73" s="6" t="str">
        <x:v>system_all_channels</x:v>
      </x:c>
      <x:c r="I73" s="9" t="n">
        <x:v>0.8328804736937059</x:v>
      </x:c>
      <x:c r="J73" s="9" t="n">
        <x:v>0.8691157005942426</x:v>
      </x:c>
      <x:c r="K73" s="9" t="n">
        <x:v>0.9992570605703706</x:v>
      </x:c>
      <x:c r="L73" s="9" t="n">
        <x:v>0.5714285714285714</x:v>
      </x:c>
      <x:c r="M73" s="6" t="n">
        <x:v>4</x:v>
      </x:c>
      <x:c r="N73" s="6" t="n">
        <x:v>0</x:v>
      </x:c>
      <x:c r="O73" s="6" t="n">
        <x:v>3</x:v>
      </x:c>
      <x:c r="P73" s="6" t="n">
        <x:v>7</x:v>
      </x:c>
      <x:c r="Q73" s="6" t="n">
        <x:v>4</x:v>
      </x:c>
      <x:c r="R73" s="6" t="n">
        <x:v>1</x:v>
      </x:c>
      <x:c r="S73" s="6" t="n">
        <x:v>5</x:v>
      </x:c>
      <x:c r="T73" s="6" t="n">
        <x:v>25000</x:v>
      </x:c>
      <x:c r="U73" s="8" t="n">
        <x:v>36526</x:v>
      </x:c>
      <x:c r="V73" s="8" t="n">
        <x:v>38353</x:v>
      </x:c>
      <x:c r="W73" s="8" t="n">
        <x:v>38353</x:v>
      </x:c>
      <x:c r="X73" s="8" t="n">
        <x:v>38443</x:v>
      </x:c>
      <x:c r="Y73" s="8" t="n">
        <x:v>38443</x:v>
      </x:c>
      <x:c r="Z73" s="8" t="n">
        <x:v>38718</x:v>
      </x:c>
      <x:c r="AA73" s="6" t="str">
        <x:v>[start,end)</x:v>
      </x:c>
      <x:c r="AB73" s="10" t="n">
        <x:v>14264.184</x:v>
      </x:c>
      <x:c r="AC73" s="10" t="n">
        <x:v>19199659.395</x:v>
      </x:c>
      <x:c r="AD73" s="9" t="n">
        <x:v>0.0007429394296294412</x:v>
      </x:c>
      <x:c r="AE73" s="9" t="n">
        <x:v>0</x:v>
      </x:c>
      <x:c r="AF73" s="9" t="n">
        <x:v>1</x:v>
      </x:c>
      <x:c r="AG73" s="6" t="str">
        <x:v>esa-ew-id-duration-v1</x:v>
      </x:c>
      <x:c r="AH73" s="6" t="str">
        <x:v>Real prepared telemetry + real annotations</x:v>
      </x:c>
      <x:c r="AI73" s="6" t="str">
        <x:v>Matched 5 epochs / 25,000 windows. Four passes for masked arm.</x:v>
      </x:c>
      <x:c r="AJ73" s="6" t="str">
        <x:v>S059</x:v>
      </x:c>
    </x:row>
    <x:row r="74" ht="43" customHeight="1">
      <x:c r="A74" s="6" t="str">
        <x:v>R073</x:v>
      </x:c>
      <x:c r="B74" s="6" t="str">
        <x:v>Masking paired</x:v>
      </x:c>
      <x:c r="C74" s="6" t="str">
        <x:v>Unmasked control</x:v>
      </x:c>
      <x:c r="D74" s="6" t="str">
        <x:v>masked_pilot_2004_2005_seed42_v2</x:v>
      </x:c>
      <x:c r="E74" s="6" t="n">
        <x:v>42</x:v>
      </x:c>
      <x:c r="F74" s="6" t="str">
        <x:v>40, 41, 42, 43, 44, 45, 46, 47</x:v>
      </x:c>
      <x:c r="G74" s="6" t="str">
        <x:v>2005 Apr–Dec</x:v>
      </x:c>
      <x:c r="H74" s="6" t="str">
        <x:v>input_channels_40_47</x:v>
      </x:c>
      <x:c r="I74" s="9" t="n">
        <x:v>0.8328804736937059</x:v>
      </x:c>
      <x:c r="J74" s="9" t="n">
        <x:v>0.8691157005942426</x:v>
      </x:c>
      <x:c r="K74" s="9" t="n">
        <x:v>0.9992570605703706</x:v>
      </x:c>
      <x:c r="L74" s="9" t="n">
        <x:v>0.5714285714285714</x:v>
      </x:c>
      <x:c r="M74" s="6" t="n">
        <x:v>4</x:v>
      </x:c>
      <x:c r="N74" s="6" t="n">
        <x:v>0</x:v>
      </x:c>
      <x:c r="O74" s="6" t="n">
        <x:v>3</x:v>
      </x:c>
      <x:c r="P74" s="6" t="n">
        <x:v>7</x:v>
      </x:c>
      <x:c r="Q74" s="6" t="n">
        <x:v>4</x:v>
      </x:c>
      <x:c r="R74" s="6" t="n">
        <x:v>1</x:v>
      </x:c>
      <x:c r="S74" s="6" t="n">
        <x:v>5</x:v>
      </x:c>
      <x:c r="T74" s="6" t="n">
        <x:v>25000</x:v>
      </x:c>
      <x:c r="U74" s="8" t="n">
        <x:v>36526</x:v>
      </x:c>
      <x:c r="V74" s="8" t="n">
        <x:v>38353</x:v>
      </x:c>
      <x:c r="W74" s="8" t="n">
        <x:v>38353</x:v>
      </x:c>
      <x:c r="X74" s="8" t="n">
        <x:v>38443</x:v>
      </x:c>
      <x:c r="Y74" s="8" t="n">
        <x:v>38443</x:v>
      </x:c>
      <x:c r="Z74" s="8" t="n">
        <x:v>38718</x:v>
      </x:c>
      <x:c r="AA74" s="6" t="str">
        <x:v>[start,end)</x:v>
      </x:c>
      <x:c r="AB74" s="10" t="n">
        <x:v>14264.184</x:v>
      </x:c>
      <x:c r="AC74" s="10" t="n">
        <x:v>19199659.395</x:v>
      </x:c>
      <x:c r="AD74" s="9" t="n">
        <x:v>0.0007429394296294412</x:v>
      </x:c>
      <x:c r="AE74" s="9" t="n">
        <x:v>0</x:v>
      </x:c>
      <x:c r="AF74" s="9" t="n">
        <x:v>1</x:v>
      </x:c>
      <x:c r="AG74" s="6" t="str">
        <x:v>esa-ew-id-duration-v1</x:v>
      </x:c>
      <x:c r="AH74" s="6" t="str">
        <x:v>Real prepared telemetry + real annotations</x:v>
      </x:c>
      <x:c r="AI74" s="6" t="str">
        <x:v>Matched 5 epochs / 25,000 windows. Four passes for masked arm.</x:v>
      </x:c>
      <x:c r="AJ74" s="6" t="str">
        <x:v>S059</x:v>
      </x:c>
    </x:row>
    <x:row r="75" ht="43" customHeight="1">
      <x:c r="A75" s="6" t="str">
        <x:v>R074</x:v>
      </x:c>
      <x:c r="B75" s="6" t="str">
        <x:v>Masking paired</x:v>
      </x:c>
      <x:c r="C75" s="6" t="str">
        <x:v>Masked reconstruction</x:v>
      </x:c>
      <x:c r="D75" s="6" t="str">
        <x:v>masked_pilot_2004_2005_seed42_v2</x:v>
      </x:c>
      <x:c r="E75" s="6" t="n">
        <x:v>42</x:v>
      </x:c>
      <x:c r="F75" s="6" t="str">
        <x:v>40, 41, 42, 43, 44, 45, 46, 47</x:v>
      </x:c>
      <x:c r="G75" s="6" t="str">
        <x:v>2005 Apr–Dec</x:v>
      </x:c>
      <x:c r="H75" s="6" t="str">
        <x:v>system_all_channels</x:v>
      </x:c>
      <x:c r="I75" s="9" t="n">
        <x:v>0.8328063065294764</x:v>
      </x:c>
      <x:c r="J75" s="9" t="n">
        <x:v>0.8690854401676537</x:v>
      </x:c>
      <x:c r="K75" s="9" t="n">
        <x:v>0.9992070596833627</x:v>
      </x:c>
      <x:c r="L75" s="9" t="n">
        <x:v>0.5714285714285714</x:v>
      </x:c>
      <x:c r="M75" s="6" t="n">
        <x:v>4</x:v>
      </x:c>
      <x:c r="N75" s="6" t="n">
        <x:v>0</x:v>
      </x:c>
      <x:c r="O75" s="6" t="n">
        <x:v>3</x:v>
      </x:c>
      <x:c r="P75" s="6" t="n">
        <x:v>7</x:v>
      </x:c>
      <x:c r="Q75" s="6" t="n">
        <x:v>4</x:v>
      </x:c>
      <x:c r="R75" s="6" t="n">
        <x:v>1</x:v>
      </x:c>
      <x:c r="S75" s="6" t="n">
        <x:v>5</x:v>
      </x:c>
      <x:c r="T75" s="6" t="n">
        <x:v>25000</x:v>
      </x:c>
      <x:c r="U75" s="8" t="n">
        <x:v>36526</x:v>
      </x:c>
      <x:c r="V75" s="8" t="n">
        <x:v>38353</x:v>
      </x:c>
      <x:c r="W75" s="8" t="n">
        <x:v>38353</x:v>
      </x:c>
      <x:c r="X75" s="8" t="n">
        <x:v>38443</x:v>
      </x:c>
      <x:c r="Y75" s="8" t="n">
        <x:v>38443</x:v>
      </x:c>
      <x:c r="Z75" s="8" t="n">
        <x:v>38718</x:v>
      </x:c>
      <x:c r="AA75" s="6" t="str">
        <x:v>[start,end)</x:v>
      </x:c>
      <x:c r="AB75" s="10" t="n">
        <x:v>15224.184</x:v>
      </x:c>
      <x:c r="AC75" s="10" t="n">
        <x:v>19199659.395</x:v>
      </x:c>
      <x:c r="AD75" s="9" t="n">
        <x:v>0.0007929403166373472</x:v>
      </x:c>
      <x:c r="AE75" s="9" t="n">
        <x:v>0</x:v>
      </x:c>
      <x:c r="AF75" s="9" t="n">
        <x:v>1</x:v>
      </x:c>
      <x:c r="AG75" s="6" t="str">
        <x:v>esa-ew-id-duration-v1</x:v>
      </x:c>
      <x:c r="AH75" s="6" t="str">
        <x:v>Real prepared telemetry + real annotations</x:v>
      </x:c>
      <x:c r="AI75" s="6" t="str">
        <x:v>Matched 5 epochs / 25,000 windows. Four passes for masked arm.</x:v>
      </x:c>
      <x:c r="AJ75" s="6" t="str">
        <x:v>S059</x:v>
      </x:c>
    </x:row>
    <x:row r="76" ht="43" customHeight="1">
      <x:c r="A76" s="6" t="str">
        <x:v>R075</x:v>
      </x:c>
      <x:c r="B76" s="6" t="str">
        <x:v>Masking paired</x:v>
      </x:c>
      <x:c r="C76" s="6" t="str">
        <x:v>Masked reconstruction</x:v>
      </x:c>
      <x:c r="D76" s="6" t="str">
        <x:v>masked_pilot_2004_2005_seed42_v2</x:v>
      </x:c>
      <x:c r="E76" s="6" t="n">
        <x:v>42</x:v>
      </x:c>
      <x:c r="F76" s="6" t="str">
        <x:v>40, 41, 42, 43, 44, 45, 46, 47</x:v>
      </x:c>
      <x:c r="G76" s="6" t="str">
        <x:v>2005 Apr–Dec</x:v>
      </x:c>
      <x:c r="H76" s="6" t="str">
        <x:v>input_channels_40_47</x:v>
      </x:c>
      <x:c r="I76" s="9" t="n">
        <x:v>0.8328063065294764</x:v>
      </x:c>
      <x:c r="J76" s="9" t="n">
        <x:v>0.8690854401676537</x:v>
      </x:c>
      <x:c r="K76" s="9" t="n">
        <x:v>0.9992070596833627</x:v>
      </x:c>
      <x:c r="L76" s="9" t="n">
        <x:v>0.5714285714285714</x:v>
      </x:c>
      <x:c r="M76" s="6" t="n">
        <x:v>4</x:v>
      </x:c>
      <x:c r="N76" s="6" t="n">
        <x:v>0</x:v>
      </x:c>
      <x:c r="O76" s="6" t="n">
        <x:v>3</x:v>
      </x:c>
      <x:c r="P76" s="6" t="n">
        <x:v>7</x:v>
      </x:c>
      <x:c r="Q76" s="6" t="n">
        <x:v>4</x:v>
      </x:c>
      <x:c r="R76" s="6" t="n">
        <x:v>1</x:v>
      </x:c>
      <x:c r="S76" s="6" t="n">
        <x:v>5</x:v>
      </x:c>
      <x:c r="T76" s="6" t="n">
        <x:v>25000</x:v>
      </x:c>
      <x:c r="U76" s="8" t="n">
        <x:v>36526</x:v>
      </x:c>
      <x:c r="V76" s="8" t="n">
        <x:v>38353</x:v>
      </x:c>
      <x:c r="W76" s="8" t="n">
        <x:v>38353</x:v>
      </x:c>
      <x:c r="X76" s="8" t="n">
        <x:v>38443</x:v>
      </x:c>
      <x:c r="Y76" s="8" t="n">
        <x:v>38443</x:v>
      </x:c>
      <x:c r="Z76" s="8" t="n">
        <x:v>38718</x:v>
      </x:c>
      <x:c r="AA76" s="6" t="str">
        <x:v>[start,end)</x:v>
      </x:c>
      <x:c r="AB76" s="10" t="n">
        <x:v>15224.184</x:v>
      </x:c>
      <x:c r="AC76" s="10" t="n">
        <x:v>19199659.395</x:v>
      </x:c>
      <x:c r="AD76" s="9" t="n">
        <x:v>0.0007929403166373472</x:v>
      </x:c>
      <x:c r="AE76" s="9" t="n">
        <x:v>0</x:v>
      </x:c>
      <x:c r="AF76" s="9" t="n">
        <x:v>1</x:v>
      </x:c>
      <x:c r="AG76" s="6" t="str">
        <x:v>esa-ew-id-duration-v1</x:v>
      </x:c>
      <x:c r="AH76" s="6" t="str">
        <x:v>Real prepared telemetry + real annotations</x:v>
      </x:c>
      <x:c r="AI76" s="6" t="str">
        <x:v>Matched 5 epochs / 25,000 windows. Four passes for masked arm.</x:v>
      </x:c>
      <x:c r="AJ76" s="6" t="str">
        <x:v>S059</x:v>
      </x:c>
    </x:row>
    <x:row r="77" ht="43" customHeight="1">
      <x:c r="A77" s="6" t="str">
        <x:v>R076</x:v>
      </x:c>
      <x:c r="B77" s="6" t="str">
        <x:v>Masked overlap paired</x:v>
      </x:c>
      <x:c r="C77" s="6" t="str">
        <x:v>Masked reconstruction</x:v>
      </x:c>
      <x:c r="D77" s="6" t="str">
        <x:v>masked_overlap_2004_seed42_v1</x:v>
      </x:c>
      <x:c r="E77" s="6" t="n">
        <x:v>42</x:v>
      </x:c>
      <x:c r="F77" s="6" t="str">
        <x:v>40, 41, 42, 43, 44, 45, 46, 47</x:v>
      </x:c>
      <x:c r="G77" s="6" t="str">
        <x:v>2004 Apr–Dec</x:v>
      </x:c>
      <x:c r="H77" s="6" t="str">
        <x:v>system_all_channels</x:v>
      </x:c>
      <x:c r="I77" s="9" t="n">
        <x:v>0.17161620419178172</x:v>
      </x:c>
      <x:c r="J77" s="9" t="n">
        <x:v>0.09040889286198046</x:v>
      </x:c>
      <x:c r="K77" s="9" t="n">
        <x:v>0.07575141507438617</x:v>
      </x:c>
      <x:c r="L77" s="9" t="n">
        <x:v>0.4</x:v>
      </x:c>
      <x:c r="M77" s="6" t="n">
        <x:v>4</x:v>
      </x:c>
      <x:c r="N77" s="6" t="n">
        <x:v>48</x:v>
      </x:c>
      <x:c r="O77" s="6" t="n">
        <x:v>6</x:v>
      </x:c>
      <x:c r="P77" s="6" t="n">
        <x:v>10</x:v>
      </x:c>
      <x:c r="Q77" s="6" t="n">
        <x:v>60</x:v>
      </x:c>
      <x:c r="R77" s="6" t="n">
        <x:v>1</x:v>
      </x:c>
      <x:c r="S77" s="6" t="n">
        <x:v>5</x:v>
      </x:c>
      <x:c r="T77" s="6" t="n">
        <x:v>25000</x:v>
      </x:c>
      <x:c r="U77" s="8" t="n">
        <x:v>36526</x:v>
      </x:c>
      <x:c r="V77" s="8" t="n">
        <x:v>37987</x:v>
      </x:c>
      <x:c r="W77" s="8" t="n">
        <x:v>37987</x:v>
      </x:c>
      <x:c r="X77" s="8" t="n">
        <x:v>38078</x:v>
      </x:c>
      <x:c r="Y77" s="8" t="n">
        <x:v>38078</x:v>
      </x:c>
      <x:c r="Z77" s="8" t="n">
        <x:v>38353</x:v>
      </x:c>
      <x:c r="AA77" s="6" t="str">
        <x:v>[start,end)</x:v>
      </x:c>
      <x:c r="AB77" s="10" t="n">
        <x:v>326812.461</x:v>
      </x:c>
      <x:c r="AC77" s="10" t="n">
        <x:v>21456207.783</x:v>
      </x:c>
      <x:c r="AD77" s="9" t="n">
        <x:v>0.015231604032979962</x:v>
      </x:c>
      <x:c r="AE77" s="9" t="n">
        <x:v>0.17454567493140774</x:v>
      </x:c>
      <x:c r="AF77" s="9" t="n">
        <x:v>0.3333333333333333</x:v>
      </x:c>
      <x:c r="AG77" s="6" t="str">
        <x:v>esa-ew-id-duration-v1</x:v>
      </x:c>
      <x:c r="AH77" s="6" t="str">
        <x:v>Real prepared telemetry + real annotations</x:v>
      </x:c>
      <x:c r="AI77" s="6" t="str">
        <x:v>Same real assessment. Different masked loss/scoring policy. 2004 only.</x:v>
      </x:c>
      <x:c r="AJ77" s="6" t="str">
        <x:v>S065</x:v>
      </x:c>
    </x:row>
    <x:row r="78" ht="43" customHeight="1">
      <x:c r="A78" s="6" t="str">
        <x:v>R077</x:v>
      </x:c>
      <x:c r="B78" s="6" t="str">
        <x:v>Masked overlap paired</x:v>
      </x:c>
      <x:c r="C78" s="6" t="str">
        <x:v>Masked reconstruction</x:v>
      </x:c>
      <x:c r="D78" s="6" t="str">
        <x:v>masked_overlap_2004_seed42_v1</x:v>
      </x:c>
      <x:c r="E78" s="6" t="n">
        <x:v>42</x:v>
      </x:c>
      <x:c r="F78" s="6" t="str">
        <x:v>40, 41, 42, 43, 44, 45, 46, 47</x:v>
      </x:c>
      <x:c r="G78" s="6" t="str">
        <x:v>2004 Apr–Dec</x:v>
      </x:c>
      <x:c r="H78" s="6" t="str">
        <x:v>input_channels_40_47</x:v>
      </x:c>
      <x:c r="I78" s="9" t="n">
        <x:v>0.17161620419178172</x:v>
      </x:c>
      <x:c r="J78" s="9" t="n">
        <x:v>0.09165181371296774</x:v>
      </x:c>
      <x:c r="K78" s="9" t="n">
        <x:v>0.07575141507438617</x:v>
      </x:c>
      <x:c r="L78" s="9" t="n">
        <x:v>0.5714285714285714</x:v>
      </x:c>
      <x:c r="M78" s="6" t="n">
        <x:v>4</x:v>
      </x:c>
      <x:c r="N78" s="6" t="n">
        <x:v>48</x:v>
      </x:c>
      <x:c r="O78" s="6" t="n">
        <x:v>3</x:v>
      </x:c>
      <x:c r="P78" s="6" t="n">
        <x:v>7</x:v>
      </x:c>
      <x:c r="Q78" s="6" t="n">
        <x:v>60</x:v>
      </x:c>
      <x:c r="R78" s="6" t="n">
        <x:v>1</x:v>
      </x:c>
      <x:c r="S78" s="6" t="n">
        <x:v>5</x:v>
      </x:c>
      <x:c r="T78" s="6" t="n">
        <x:v>25000</x:v>
      </x:c>
      <x:c r="U78" s="8" t="n">
        <x:v>36526</x:v>
      </x:c>
      <x:c r="V78" s="8" t="n">
        <x:v>37987</x:v>
      </x:c>
      <x:c r="W78" s="8" t="n">
        <x:v>37987</x:v>
      </x:c>
      <x:c r="X78" s="8" t="n">
        <x:v>38078</x:v>
      </x:c>
      <x:c r="Y78" s="8" t="n">
        <x:v>38078</x:v>
      </x:c>
      <x:c r="Z78" s="8" t="n">
        <x:v>38353</x:v>
      </x:c>
      <x:c r="AA78" s="6" t="str">
        <x:v>[start,end)</x:v>
      </x:c>
      <x:c r="AB78" s="10" t="n">
        <x:v>326812.461</x:v>
      </x:c>
      <x:c r="AC78" s="10" t="n">
        <x:v>21456207.783</x:v>
      </x:c>
      <x:c r="AD78" s="9" t="n">
        <x:v>0.015231604032979962</x:v>
      </x:c>
      <x:c r="AE78" s="9" t="n">
        <x:v>0.17454567493140774</x:v>
      </x:c>
      <x:c r="AF78" s="9" t="n">
        <x:v>0.3333333333333333</x:v>
      </x:c>
      <x:c r="AG78" s="6" t="str">
        <x:v>esa-ew-id-duration-v1</x:v>
      </x:c>
      <x:c r="AH78" s="6" t="str">
        <x:v>Real prepared telemetry + real annotations</x:v>
      </x:c>
      <x:c r="AI78" s="6" t="str">
        <x:v>Same real assessment. Different masked loss/scoring policy. 2004 only.</x:v>
      </x:c>
      <x:c r="AJ78" s="6" t="str">
        <x:v>S065</x:v>
      </x:c>
    </x:row>
    <x:row r="79" ht="43" customHeight="1">
      <x:c r="A79" s="6" t="str">
        <x:v>R078</x:v>
      </x:c>
      <x:c r="B79" s="6" t="str">
        <x:v>Masked overlap paired</x:v>
      </x:c>
      <x:c r="C79" s="6" t="str">
        <x:v>Masked hidden-overlap scoring</x:v>
      </x:c>
      <x:c r="D79" s="6" t="str">
        <x:v>masked_overlap_2004_seed42_v1</x:v>
      </x:c>
      <x:c r="E79" s="6" t="n">
        <x:v>42</x:v>
      </x:c>
      <x:c r="F79" s="6" t="str">
        <x:v>40, 41, 42, 43, 44, 45, 46, 47</x:v>
      </x:c>
      <x:c r="G79" s="6" t="str">
        <x:v>2004 Apr–Dec</x:v>
      </x:c>
      <x:c r="H79" s="6" t="str">
        <x:v>system_all_channels</x:v>
      </x:c>
      <x:c r="I79" s="9" t="n">
        <x:v>0</x:v>
      </x:c>
      <x:c r="J79" s="9" t="n">
        <x:v>0.09294758337948845</x:v>
      </x:c>
      <x:c r="K79" s="9" t="n">
        <x:v>0.07798219498901948</x:v>
      </x:c>
      <x:c r="L79" s="9" t="n">
        <x:v>0.4</x:v>
      </x:c>
      <x:c r="M79" s="6" t="n">
        <x:v>4</x:v>
      </x:c>
      <x:c r="N79" s="6" t="n">
        <x:v>47</x:v>
      </x:c>
      <x:c r="O79" s="6" t="n">
        <x:v>6</x:v>
      </x:c>
      <x:c r="P79" s="6" t="n">
        <x:v>10</x:v>
      </x:c>
      <x:c r="Q79" s="6" t="n">
        <x:v>54</x:v>
      </x:c>
      <x:c r="R79" s="6" t="n">
        <x:v>1</x:v>
      </x:c>
      <x:c r="S79" s="6" t="n">
        <x:v>5</x:v>
      </x:c>
      <x:c r="T79" s="6" t="n">
        <x:v>25000</x:v>
      </x:c>
      <x:c r="U79" s="8" t="n">
        <x:v>36526</x:v>
      </x:c>
      <x:c r="V79" s="8" t="n">
        <x:v>37987</x:v>
      </x:c>
      <x:c r="W79" s="8" t="n">
        <x:v>37987</x:v>
      </x:c>
      <x:c r="X79" s="8" t="n">
        <x:v>38078</x:v>
      </x:c>
      <x:c r="Y79" s="8" t="n">
        <x:v>38078</x:v>
      </x:c>
      <x:c r="Z79" s="8" t="n">
        <x:v>38353</x:v>
      </x:c>
      <x:c r="AA79" s="6" t="str">
        <x:v>[start,end)</x:v>
      </x:c>
      <x:c r="AB79" s="10" t="n">
        <x:v>122880</x:v>
      </x:c>
      <x:c r="AC79" s="10" t="n">
        <x:v>21456207.783</x:v>
      </x:c>
      <x:c r="AD79" s="9" t="n">
        <x:v>0.00572701389000152</x:v>
      </x:c>
      <x:c r="AE79" s="9" t="n">
        <x:v>0.17090930670367008</x:v>
      </x:c>
      <x:c r="AF79" s="9" t="n">
        <x:v>0.5714285714285714</x:v>
      </x:c>
      <x:c r="AG79" s="6" t="str">
        <x:v>esa-ew-id-duration-v1</x:v>
      </x:c>
      <x:c r="AH79" s="6" t="str">
        <x:v>Real prepared telemetry + real annotations</x:v>
      </x:c>
      <x:c r="AI79" s="6" t="str">
        <x:v>Same real assessment. Different masked loss/scoring policy. 2004 only.</x:v>
      </x:c>
      <x:c r="AJ79" s="6" t="str">
        <x:v>S065</x:v>
      </x:c>
    </x:row>
    <x:row r="80" ht="43" customHeight="1">
      <x:c r="A80" s="6" t="str">
        <x:v>R079</x:v>
      </x:c>
      <x:c r="B80" s="6" t="str">
        <x:v>Masked overlap paired</x:v>
      </x:c>
      <x:c r="C80" s="6" t="str">
        <x:v>Masked hidden-overlap scoring</x:v>
      </x:c>
      <x:c r="D80" s="6" t="str">
        <x:v>masked_overlap_2004_seed42_v1</x:v>
      </x:c>
      <x:c r="E80" s="6" t="n">
        <x:v>42</x:v>
      </x:c>
      <x:c r="F80" s="6" t="str">
        <x:v>40, 41, 42, 43, 44, 45, 46, 47</x:v>
      </x:c>
      <x:c r="G80" s="6" t="str">
        <x:v>2004 Apr–Dec</x:v>
      </x:c>
      <x:c r="H80" s="6" t="str">
        <x:v>input_channels_40_47</x:v>
      </x:c>
      <x:c r="I80" s="9" t="n">
        <x:v>0</x:v>
      </x:c>
      <x:c r="J80" s="9" t="n">
        <x:v>0.09426179427694696</x:v>
      </x:c>
      <x:c r="K80" s="9" t="n">
        <x:v>0.07798219498901948</x:v>
      </x:c>
      <x:c r="L80" s="9" t="n">
        <x:v>0.5714285714285714</x:v>
      </x:c>
      <x:c r="M80" s="6" t="n">
        <x:v>4</x:v>
      </x:c>
      <x:c r="N80" s="6" t="n">
        <x:v>47</x:v>
      </x:c>
      <x:c r="O80" s="6" t="n">
        <x:v>3</x:v>
      </x:c>
      <x:c r="P80" s="6" t="n">
        <x:v>7</x:v>
      </x:c>
      <x:c r="Q80" s="6" t="n">
        <x:v>54</x:v>
      </x:c>
      <x:c r="R80" s="6" t="n">
        <x:v>1</x:v>
      </x:c>
      <x:c r="S80" s="6" t="n">
        <x:v>5</x:v>
      </x:c>
      <x:c r="T80" s="6" t="n">
        <x:v>25000</x:v>
      </x:c>
      <x:c r="U80" s="8" t="n">
        <x:v>36526</x:v>
      </x:c>
      <x:c r="V80" s="8" t="n">
        <x:v>37987</x:v>
      </x:c>
      <x:c r="W80" s="8" t="n">
        <x:v>37987</x:v>
      </x:c>
      <x:c r="X80" s="8" t="n">
        <x:v>38078</x:v>
      </x:c>
      <x:c r="Y80" s="8" t="n">
        <x:v>38078</x:v>
      </x:c>
      <x:c r="Z80" s="8" t="n">
        <x:v>38353</x:v>
      </x:c>
      <x:c r="AA80" s="6" t="str">
        <x:v>[start,end)</x:v>
      </x:c>
      <x:c r="AB80" s="10" t="n">
        <x:v>122880</x:v>
      </x:c>
      <x:c r="AC80" s="10" t="n">
        <x:v>21456207.783</x:v>
      </x:c>
      <x:c r="AD80" s="9" t="n">
        <x:v>0.00572701389000152</x:v>
      </x:c>
      <x:c r="AE80" s="9" t="n">
        <x:v>0.17090930670367008</x:v>
      </x:c>
      <x:c r="AF80" s="9" t="n">
        <x:v>0.5714285714285714</x:v>
      </x:c>
      <x:c r="AG80" s="6" t="str">
        <x:v>esa-ew-id-duration-v1</x:v>
      </x:c>
      <x:c r="AH80" s="6" t="str">
        <x:v>Real prepared telemetry + real annotations</x:v>
      </x:c>
      <x:c r="AI80" s="6" t="str">
        <x:v>Same real assessment. Different masked loss/scoring policy. 2004 only.</x:v>
      </x:c>
      <x:c r="AJ80" s="6" t="str">
        <x:v>S065</x:v>
      </x:c>
    </x:row>
    <x:row r="81" ht="43" customHeight="1">
      <x:c r="A81" s="6" t="str">
        <x:v>R080</x:v>
      </x:c>
      <x:c r="B81" s="6" t="str">
        <x:v>Threshold policy</x:v>
      </x:c>
      <x:c r="C81" s="6" t="str">
        <x:v>Original threshold grid</x:v>
      </x:c>
      <x:c r="D81" s="6" t="str">
        <x:v>grid_cap_policy_v1</x:v>
      </x:c>
      <x:c r="E81" s="6" t="n">
        <x:v>42</x:v>
      </x:c>
      <x:c r="F81" s="6" t="str">
        <x:v>40–47</x:v>
      </x:c>
      <x:c r="G81" s="6" t="str">
        <x:v>2003 Apr–Dec</x:v>
      </x:c>
      <x:c r="H81" s="6" t="str">
        <x:v>system_all_channels</x:v>
      </x:c>
      <x:c r="I81" s="9" t="n">
        <x:v>0.7142410612656628</x:v>
      </x:c>
      <x:c r="J81" s="9" t="n">
        <x:v>0.8331698402429286</x:v>
      </x:c>
      <x:c r="K81" s="9" t="n">
        <x:v>0.8331289769935822</x:v>
      </x:c>
      <x:c r="L81" s="9" t="n">
        <x:v>0.8333333333333334</x:v>
      </x:c>
      <x:c r="M81" s="6" t="n">
        <x:v>5</x:v>
      </x:c>
      <x:c r="N81" s="6" t="n">
        <x:v>1</x:v>
      </x:c>
      <x:c r="O81" s="6" t="n">
        <x:v>1</x:v>
      </x:c>
      <x:c r="P81" s="6" t="n">
        <x:v>6</x:v>
      </x:c>
      <x:c r="Q81" s="6" t="n">
        <x:v>6</x:v>
      </x:c>
      <x:c r="R81" s="6" t="n">
        <x:v>25</x:v>
      </x:c>
      <x:c r="S81" s="6" t="n">
        <x:v>40</x:v>
      </x:c>
      <x:c r="T81" s="6" t="n">
        <x:v>250000</x:v>
      </x:c>
      <x:c r="U81" s="8" t="n">
        <x:v>36526</x:v>
      </x:c>
      <x:c r="V81" s="8" t="n">
        <x:v>37622</x:v>
      </x:c>
      <x:c r="W81" s="8" t="n">
        <x:v>37622</x:v>
      </x:c>
      <x:c r="X81" s="8" t="n">
        <x:v>37712</x:v>
      </x:c>
      <x:c r="Y81" s="8" t="n">
        <x:v>37712</x:v>
      </x:c>
      <x:c r="Z81" s="8" t="n">
        <x:v>37987</x:v>
      </x:c>
      <x:c r="AA81" s="6" t="str">
        <x:v>[start,end)</x:v>
      </x:c>
      <x:c r="AB81" s="10" t="n">
        <x:v>5390.412</x:v>
      </x:c>
      <x:c r="AC81" s="10" t="n">
        <x:v>21981260.799</x:v>
      </x:c>
      <x:c r="AD81" s="9" t="n">
        <x:v>0.0002452276077014037</x:v>
      </x:c>
      <x:c r="AE81" s="9" t="n">
        <x:v>0.0036363682277376613</x:v>
      </x:c>
      <x:c r="AF81" s="9" t="n">
        <x:v>0.8333333333333334</x:v>
      </x:c>
      <x:c r="AG81" s="6" t="str">
        <x:v>esa-ew-id-duration-v1</x:v>
      </x:c>
      <x:c r="AH81" s="6" t="str">
        <x:v>Real prepared telemetry + real annotations</x:v>
      </x:c>
      <x:c r="AI81" s="6" t="str">
        <x:v>Same saved model scores. Calibration-only threshold change, no retraining.</x:v>
      </x:c>
      <x:c r="AJ81" s="6" t="str">
        <x:v>S069</x:v>
      </x:c>
    </x:row>
    <x:row r="82" ht="43" customHeight="1">
      <x:c r="A82" s="6" t="str">
        <x:v>R081</x:v>
      </x:c>
      <x:c r="B82" s="6" t="str">
        <x:v>Threshold policy</x:v>
      </x:c>
      <x:c r="C82" s="6" t="str">
        <x:v>Original threshold grid</x:v>
      </x:c>
      <x:c r="D82" s="6" t="str">
        <x:v>grid_cap_policy_v1</x:v>
      </x:c>
      <x:c r="E82" s="6" t="n">
        <x:v>42</x:v>
      </x:c>
      <x:c r="F82" s="6" t="str">
        <x:v>40–47</x:v>
      </x:c>
      <x:c r="G82" s="6" t="str">
        <x:v>2003 Apr–Dec</x:v>
      </x:c>
      <x:c r="H82" s="6" t="str">
        <x:v>input_channels_40_47</x:v>
      </x:c>
      <x:c r="I82" s="9" t="n">
        <x:v>0.7142410612656628</x:v>
      </x:c>
      <x:c r="J82" s="9" t="n">
        <x:v>0.8331698402429286</x:v>
      </x:c>
      <x:c r="K82" s="9" t="n">
        <x:v>0.8331289769935822</x:v>
      </x:c>
      <x:c r="L82" s="9" t="n">
        <x:v>0.8333333333333334</x:v>
      </x:c>
      <x:c r="M82" s="6" t="n">
        <x:v>5</x:v>
      </x:c>
      <x:c r="N82" s="6" t="n">
        <x:v>1</x:v>
      </x:c>
      <x:c r="O82" s="6" t="n">
        <x:v>1</x:v>
      </x:c>
      <x:c r="P82" s="6" t="n">
        <x:v>6</x:v>
      </x:c>
      <x:c r="Q82" s="6" t="n">
        <x:v>6</x:v>
      </x:c>
      <x:c r="R82" s="6" t="n">
        <x:v>25</x:v>
      </x:c>
      <x:c r="S82" s="6" t="n">
        <x:v>40</x:v>
      </x:c>
      <x:c r="T82" s="6" t="n">
        <x:v>250000</x:v>
      </x:c>
      <x:c r="U82" s="8" t="n">
        <x:v>36526</x:v>
      </x:c>
      <x:c r="V82" s="8" t="n">
        <x:v>37622</x:v>
      </x:c>
      <x:c r="W82" s="8" t="n">
        <x:v>37622</x:v>
      </x:c>
      <x:c r="X82" s="8" t="n">
        <x:v>37712</x:v>
      </x:c>
      <x:c r="Y82" s="8" t="n">
        <x:v>37712</x:v>
      </x:c>
      <x:c r="Z82" s="8" t="n">
        <x:v>37987</x:v>
      </x:c>
      <x:c r="AA82" s="6" t="str">
        <x:v>[start,end)</x:v>
      </x:c>
      <x:c r="AB82" s="10" t="n">
        <x:v>5390.412</x:v>
      </x:c>
      <x:c r="AC82" s="10" t="n">
        <x:v>21981260.799</x:v>
      </x:c>
      <x:c r="AD82" s="9" t="n">
        <x:v>0.0002452276077014037</x:v>
      </x:c>
      <x:c r="AE82" s="9" t="n">
        <x:v>0.0036363682277376613</x:v>
      </x:c>
      <x:c r="AF82" s="9" t="n">
        <x:v>0.8333333333333334</x:v>
      </x:c>
      <x:c r="AG82" s="6" t="str">
        <x:v>esa-ew-id-duration-v1</x:v>
      </x:c>
      <x:c r="AH82" s="6" t="str">
        <x:v>Real prepared telemetry + real annotations</x:v>
      </x:c>
      <x:c r="AI82" s="6" t="str">
        <x:v>Same saved model scores. Calibration-only threshold change, no retraining.</x:v>
      </x:c>
      <x:c r="AJ82" s="6" t="str">
        <x:v>S069</x:v>
      </x:c>
    </x:row>
    <x:row r="83" ht="43" customHeight="1">
      <x:c r="A83" s="6" t="str">
        <x:v>R082</x:v>
      </x:c>
      <x:c r="B83" s="6" t="str">
        <x:v>Threshold policy</x:v>
      </x:c>
      <x:c r="C83" s="6" t="str">
        <x:v>Dense grid + nominal alarm cap</x:v>
      </x:c>
      <x:c r="D83" s="6" t="str">
        <x:v>grid_cap_policy_v1</x:v>
      </x:c>
      <x:c r="E83" s="6" t="n">
        <x:v>42</x:v>
      </x:c>
      <x:c r="F83" s="6" t="str">
        <x:v>40–47</x:v>
      </x:c>
      <x:c r="G83" s="6" t="str">
        <x:v>2003 Apr–Dec</x:v>
      </x:c>
      <x:c r="H83" s="6" t="str">
        <x:v>system_all_channels</x:v>
      </x:c>
      <x:c r="I83" s="9" t="n">
        <x:v>0.7142410612656628</x:v>
      </x:c>
      <x:c r="J83" s="9" t="n">
        <x:v>0.8331698402429286</x:v>
      </x:c>
      <x:c r="K83" s="9" t="n">
        <x:v>0.8331289769935822</x:v>
      </x:c>
      <x:c r="L83" s="9" t="n">
        <x:v>0.8333333333333334</x:v>
      </x:c>
      <x:c r="M83" s="6" t="n">
        <x:v>5</x:v>
      </x:c>
      <x:c r="N83" s="6" t="n">
        <x:v>1</x:v>
      </x:c>
      <x:c r="O83" s="6" t="n">
        <x:v>1</x:v>
      </x:c>
      <x:c r="P83" s="6" t="n">
        <x:v>6</x:v>
      </x:c>
      <x:c r="Q83" s="6" t="n">
        <x:v>6</x:v>
      </x:c>
      <x:c r="R83" s="6" t="n">
        <x:v>25</x:v>
      </x:c>
      <x:c r="S83" s="6" t="n">
        <x:v>40</x:v>
      </x:c>
      <x:c r="T83" s="6" t="n">
        <x:v>250000</x:v>
      </x:c>
      <x:c r="U83" s="8" t="n">
        <x:v>36526</x:v>
      </x:c>
      <x:c r="V83" s="8" t="n">
        <x:v>37622</x:v>
      </x:c>
      <x:c r="W83" s="8" t="n">
        <x:v>37622</x:v>
      </x:c>
      <x:c r="X83" s="8" t="n">
        <x:v>37712</x:v>
      </x:c>
      <x:c r="Y83" s="8" t="n">
        <x:v>37712</x:v>
      </x:c>
      <x:c r="Z83" s="8" t="n">
        <x:v>37987</x:v>
      </x:c>
      <x:c r="AA83" s="6" t="str">
        <x:v>[start,end)</x:v>
      </x:c>
      <x:c r="AB83" s="10" t="n">
        <x:v>5390.412</x:v>
      </x:c>
      <x:c r="AC83" s="10" t="n">
        <x:v>21981260.799</x:v>
      </x:c>
      <x:c r="AD83" s="9" t="n">
        <x:v>0.0002452276077014037</x:v>
      </x:c>
      <x:c r="AE83" s="9" t="n">
        <x:v>0.0036363682277376613</x:v>
      </x:c>
      <x:c r="AF83" s="9" t="n">
        <x:v>0.8333333333333334</x:v>
      </x:c>
      <x:c r="AG83" s="6" t="str">
        <x:v>esa-ew-id-duration-v1</x:v>
      </x:c>
      <x:c r="AH83" s="6" t="str">
        <x:v>Real prepared telemetry + real annotations</x:v>
      </x:c>
      <x:c r="AI83" s="6" t="str">
        <x:v>Same saved model scores. Calibration-only threshold change, no retraining.</x:v>
      </x:c>
      <x:c r="AJ83" s="6" t="str">
        <x:v>S069</x:v>
      </x:c>
    </x:row>
    <x:row r="84" ht="43" customHeight="1">
      <x:c r="A84" s="6" t="str">
        <x:v>R083</x:v>
      </x:c>
      <x:c r="B84" s="6" t="str">
        <x:v>Threshold policy</x:v>
      </x:c>
      <x:c r="C84" s="6" t="str">
        <x:v>Dense grid + nominal alarm cap</x:v>
      </x:c>
      <x:c r="D84" s="6" t="str">
        <x:v>grid_cap_policy_v1</x:v>
      </x:c>
      <x:c r="E84" s="6" t="n">
        <x:v>42</x:v>
      </x:c>
      <x:c r="F84" s="6" t="str">
        <x:v>40–47</x:v>
      </x:c>
      <x:c r="G84" s="6" t="str">
        <x:v>2003 Apr–Dec</x:v>
      </x:c>
      <x:c r="H84" s="6" t="str">
        <x:v>input_channels_40_47</x:v>
      </x:c>
      <x:c r="I84" s="9" t="n">
        <x:v>0.7142410612656628</x:v>
      </x:c>
      <x:c r="J84" s="9" t="n">
        <x:v>0.8331698402429286</x:v>
      </x:c>
      <x:c r="K84" s="9" t="n">
        <x:v>0.8331289769935822</x:v>
      </x:c>
      <x:c r="L84" s="9" t="n">
        <x:v>0.8333333333333334</x:v>
      </x:c>
      <x:c r="M84" s="6" t="n">
        <x:v>5</x:v>
      </x:c>
      <x:c r="N84" s="6" t="n">
        <x:v>1</x:v>
      </x:c>
      <x:c r="O84" s="6" t="n">
        <x:v>1</x:v>
      </x:c>
      <x:c r="P84" s="6" t="n">
        <x:v>6</x:v>
      </x:c>
      <x:c r="Q84" s="6" t="n">
        <x:v>6</x:v>
      </x:c>
      <x:c r="R84" s="6" t="n">
        <x:v>25</x:v>
      </x:c>
      <x:c r="S84" s="6" t="n">
        <x:v>40</x:v>
      </x:c>
      <x:c r="T84" s="6" t="n">
        <x:v>250000</x:v>
      </x:c>
      <x:c r="U84" s="8" t="n">
        <x:v>36526</x:v>
      </x:c>
      <x:c r="V84" s="8" t="n">
        <x:v>37622</x:v>
      </x:c>
      <x:c r="W84" s="8" t="n">
        <x:v>37622</x:v>
      </x:c>
      <x:c r="X84" s="8" t="n">
        <x:v>37712</x:v>
      </x:c>
      <x:c r="Y84" s="8" t="n">
        <x:v>37712</x:v>
      </x:c>
      <x:c r="Z84" s="8" t="n">
        <x:v>37987</x:v>
      </x:c>
      <x:c r="AA84" s="6" t="str">
        <x:v>[start,end)</x:v>
      </x:c>
      <x:c r="AB84" s="10" t="n">
        <x:v>5390.412</x:v>
      </x:c>
      <x:c r="AC84" s="10" t="n">
        <x:v>21981260.799</x:v>
      </x:c>
      <x:c r="AD84" s="9" t="n">
        <x:v>0.0002452276077014037</x:v>
      </x:c>
      <x:c r="AE84" s="9" t="n">
        <x:v>0.0036363682277376613</x:v>
      </x:c>
      <x:c r="AF84" s="9" t="n">
        <x:v>0.8333333333333334</x:v>
      </x:c>
      <x:c r="AG84" s="6" t="str">
        <x:v>esa-ew-id-duration-v1</x:v>
      </x:c>
      <x:c r="AH84" s="6" t="str">
        <x:v>Real prepared telemetry + real annotations</x:v>
      </x:c>
      <x:c r="AI84" s="6" t="str">
        <x:v>Same saved model scores. Calibration-only threshold change, no retraining.</x:v>
      </x:c>
      <x:c r="AJ84" s="6" t="str">
        <x:v>S069</x:v>
      </x:c>
    </x:row>
    <x:row r="85" ht="43" customHeight="1">
      <x:c r="A85" s="6" t="str">
        <x:v>R084</x:v>
      </x:c>
      <x:c r="B85" s="6" t="str">
        <x:v>Threshold policy</x:v>
      </x:c>
      <x:c r="C85" s="6" t="str">
        <x:v>Original threshold grid</x:v>
      </x:c>
      <x:c r="D85" s="6" t="str">
        <x:v>grid_cap_policy_v1</x:v>
      </x:c>
      <x:c r="E85" s="6" t="n">
        <x:v>42</x:v>
      </x:c>
      <x:c r="F85" s="6" t="str">
        <x:v>40–47</x:v>
      </x:c>
      <x:c r="G85" s="6" t="str">
        <x:v>2004 Apr–Dec</x:v>
      </x:c>
      <x:c r="H85" s="6" t="str">
        <x:v>system_all_channels</x:v>
      </x:c>
      <x:c r="I85" s="9" t="n">
        <x:v>0.38390663095893557</x:v>
      </x:c>
      <x:c r="J85" s="9" t="n">
        <x:v>0.42813074712147803</x:v>
      </x:c>
      <x:c r="K85" s="9" t="n">
        <x:v>0.39952022908688667</x:v>
      </x:c>
      <x:c r="L85" s="9" t="n">
        <x:v>0.6</x:v>
      </x:c>
      <x:c r="M85" s="6" t="n">
        <x:v>6</x:v>
      </x:c>
      <x:c r="N85" s="6" t="n">
        <x:v>9</x:v>
      </x:c>
      <x:c r="O85" s="6" t="n">
        <x:v>4</x:v>
      </x:c>
      <x:c r="P85" s="6" t="n">
        <x:v>10</x:v>
      </x:c>
      <x:c r="Q85" s="6" t="n">
        <x:v>15</x:v>
      </x:c>
      <x:c r="R85" s="6" t="n">
        <x:v>35</x:v>
      </x:c>
      <x:c r="S85" s="6" t="n">
        <x:v>40</x:v>
      </x:c>
      <x:c r="T85" s="6" t="n">
        <x:v>250000</x:v>
      </x:c>
      <x:c r="U85" s="8" t="n">
        <x:v>36526</x:v>
      </x:c>
      <x:c r="V85" s="8" t="n">
        <x:v>37987</x:v>
      </x:c>
      <x:c r="W85" s="8" t="n">
        <x:v>37987</x:v>
      </x:c>
      <x:c r="X85" s="8" t="n">
        <x:v>38078</x:v>
      </x:c>
      <x:c r="Y85" s="8" t="n">
        <x:v>38078</x:v>
      </x:c>
      <x:c r="Z85" s="8" t="n">
        <x:v>38353</x:v>
      </x:c>
      <x:c r="AA85" s="6" t="str">
        <x:v>[start,end)</x:v>
      </x:c>
      <x:c r="AB85" s="10" t="n">
        <x:v>25735.161</x:v>
      </x:c>
      <x:c r="AC85" s="10" t="n">
        <x:v>21456207.783</x:v>
      </x:c>
      <x:c r="AD85" s="9" t="n">
        <x:v>0.0011994272827834385</x:v>
      </x:c>
      <x:c r="AE85" s="9" t="n">
        <x:v>0.03272731404963895</x:v>
      </x:c>
      <x:c r="AF85" s="9" t="n">
        <x:v>0.8571428571428571</x:v>
      </x:c>
      <x:c r="AG85" s="6" t="str">
        <x:v>esa-ew-id-duration-v1</x:v>
      </x:c>
      <x:c r="AH85" s="6" t="str">
        <x:v>Real prepared telemetry + real annotations</x:v>
      </x:c>
      <x:c r="AI85" s="6" t="str">
        <x:v>Same saved model scores. Calibration-only threshold change, no retraining.</x:v>
      </x:c>
      <x:c r="AJ85" s="6" t="str">
        <x:v>S069</x:v>
      </x:c>
    </x:row>
    <x:row r="86" ht="43" customHeight="1">
      <x:c r="A86" s="6" t="str">
        <x:v>R085</x:v>
      </x:c>
      <x:c r="B86" s="6" t="str">
        <x:v>Threshold policy</x:v>
      </x:c>
      <x:c r="C86" s="6" t="str">
        <x:v>Original threshold grid</x:v>
      </x:c>
      <x:c r="D86" s="6" t="str">
        <x:v>grid_cap_policy_v1</x:v>
      </x:c>
      <x:c r="E86" s="6" t="n">
        <x:v>42</x:v>
      </x:c>
      <x:c r="F86" s="6" t="str">
        <x:v>40–47</x:v>
      </x:c>
      <x:c r="G86" s="6" t="str">
        <x:v>2004 Apr–Dec</x:v>
      </x:c>
      <x:c r="H86" s="6" t="str">
        <x:v>input_channels_40_47</x:v>
      </x:c>
      <x:c r="I86" s="9" t="n">
        <x:v>0.38390663095893557</x:v>
      </x:c>
      <x:c r="J86" s="9" t="n">
        <x:v>0.4472801871930369</x:v>
      </x:c>
      <x:c r="K86" s="9" t="n">
        <x:v>0.39952022908688667</x:v>
      </x:c>
      <x:c r="L86" s="9" t="n">
        <x:v>0.8571428571428571</x:v>
      </x:c>
      <x:c r="M86" s="6" t="n">
        <x:v>6</x:v>
      </x:c>
      <x:c r="N86" s="6" t="n">
        <x:v>9</x:v>
      </x:c>
      <x:c r="O86" s="6" t="n">
        <x:v>1</x:v>
      </x:c>
      <x:c r="P86" s="6" t="n">
        <x:v>7</x:v>
      </x:c>
      <x:c r="Q86" s="6" t="n">
        <x:v>15</x:v>
      </x:c>
      <x:c r="R86" s="6" t="n">
        <x:v>35</x:v>
      </x:c>
      <x:c r="S86" s="6" t="n">
        <x:v>40</x:v>
      </x:c>
      <x:c r="T86" s="6" t="n">
        <x:v>250000</x:v>
      </x:c>
      <x:c r="U86" s="8" t="n">
        <x:v>36526</x:v>
      </x:c>
      <x:c r="V86" s="8" t="n">
        <x:v>37987</x:v>
      </x:c>
      <x:c r="W86" s="8" t="n">
        <x:v>37987</x:v>
      </x:c>
      <x:c r="X86" s="8" t="n">
        <x:v>38078</x:v>
      </x:c>
      <x:c r="Y86" s="8" t="n">
        <x:v>38078</x:v>
      </x:c>
      <x:c r="Z86" s="8" t="n">
        <x:v>38353</x:v>
      </x:c>
      <x:c r="AA86" s="6" t="str">
        <x:v>[start,end)</x:v>
      </x:c>
      <x:c r="AB86" s="10" t="n">
        <x:v>25735.161</x:v>
      </x:c>
      <x:c r="AC86" s="10" t="n">
        <x:v>21456207.783</x:v>
      </x:c>
      <x:c r="AD86" s="9" t="n">
        <x:v>0.0011994272827834385</x:v>
      </x:c>
      <x:c r="AE86" s="9" t="n">
        <x:v>0.03272731404963895</x:v>
      </x:c>
      <x:c r="AF86" s="9" t="n">
        <x:v>0.8571428571428571</x:v>
      </x:c>
      <x:c r="AG86" s="6" t="str">
        <x:v>esa-ew-id-duration-v1</x:v>
      </x:c>
      <x:c r="AH86" s="6" t="str">
        <x:v>Real prepared telemetry + real annotations</x:v>
      </x:c>
      <x:c r="AI86" s="6" t="str">
        <x:v>Same saved model scores. Calibration-only threshold change, no retraining.</x:v>
      </x:c>
      <x:c r="AJ86" s="6" t="str">
        <x:v>S069</x:v>
      </x:c>
    </x:row>
    <x:row r="87" ht="43" customHeight="1">
      <x:c r="A87" s="6" t="str">
        <x:v>R086</x:v>
      </x:c>
      <x:c r="B87" s="6" t="str">
        <x:v>Threshold policy</x:v>
      </x:c>
      <x:c r="C87" s="6" t="str">
        <x:v>Dense grid + nominal alarm cap</x:v>
      </x:c>
      <x:c r="D87" s="6" t="str">
        <x:v>grid_cap_policy_v1</x:v>
      </x:c>
      <x:c r="E87" s="6" t="n">
        <x:v>42</x:v>
      </x:c>
      <x:c r="F87" s="6" t="str">
        <x:v>40–47</x:v>
      </x:c>
      <x:c r="G87" s="6" t="str">
        <x:v>2004 Apr–Dec</x:v>
      </x:c>
      <x:c r="H87" s="6" t="str">
        <x:v>system_all_channels</x:v>
      </x:c>
      <x:c r="I87" s="9" t="n">
        <x:v>0.3840483991038577</x:v>
      </x:c>
      <x:c r="J87" s="9" t="n">
        <x:v>0.4282482724801282</x:v>
      </x:c>
      <x:c r="K87" s="9" t="n">
        <x:v>0.3996481631387826</x:v>
      </x:c>
      <x:c r="L87" s="9" t="n">
        <x:v>0.6</x:v>
      </x:c>
      <x:c r="M87" s="6" t="n">
        <x:v>6</x:v>
      </x:c>
      <x:c r="N87" s="6" t="n">
        <x:v>9</x:v>
      </x:c>
      <x:c r="O87" s="6" t="n">
        <x:v>4</x:v>
      </x:c>
      <x:c r="P87" s="6" t="n">
        <x:v>10</x:v>
      </x:c>
      <x:c r="Q87" s="6" t="n">
        <x:v>15</x:v>
      </x:c>
      <x:c r="R87" s="6" t="n">
        <x:v>35</x:v>
      </x:c>
      <x:c r="S87" s="6" t="n">
        <x:v>40</x:v>
      </x:c>
      <x:c r="T87" s="6" t="n">
        <x:v>250000</x:v>
      </x:c>
      <x:c r="U87" s="8" t="n">
        <x:v>36526</x:v>
      </x:c>
      <x:c r="V87" s="8" t="n">
        <x:v>37987</x:v>
      </x:c>
      <x:c r="W87" s="8" t="n">
        <x:v>37987</x:v>
      </x:c>
      <x:c r="X87" s="8" t="n">
        <x:v>38078</x:v>
      </x:c>
      <x:c r="Y87" s="8" t="n">
        <x:v>38078</x:v>
      </x:c>
      <x:c r="Z87" s="8" t="n">
        <x:v>38353</x:v>
      </x:c>
      <x:c r="AA87" s="6" t="str">
        <x:v>[start,end)</x:v>
      </x:c>
      <x:c r="AB87" s="10" t="n">
        <x:v>18872.712</x:v>
      </x:c>
      <x:c r="AC87" s="10" t="n">
        <x:v>21456207.783</x:v>
      </x:c>
      <x:c r="AD87" s="9" t="n">
        <x:v>0.0008795921530435624</x:v>
      </x:c>
      <x:c r="AE87" s="9" t="n">
        <x:v>0.03272731404963895</x:v>
      </x:c>
      <x:c r="AF87" s="9" t="n">
        <x:v>0.8571428571428571</x:v>
      </x:c>
      <x:c r="AG87" s="6" t="str">
        <x:v>esa-ew-id-duration-v1</x:v>
      </x:c>
      <x:c r="AH87" s="6" t="str">
        <x:v>Real prepared telemetry + real annotations</x:v>
      </x:c>
      <x:c r="AI87" s="6" t="str">
        <x:v>Same saved model scores. Calibration-only threshold change, no retraining.</x:v>
      </x:c>
      <x:c r="AJ87" s="6" t="str">
        <x:v>S069</x:v>
      </x:c>
    </x:row>
    <x:row r="88" ht="43" customHeight="1">
      <x:c r="A88" s="6" t="str">
        <x:v>R087</x:v>
      </x:c>
      <x:c r="B88" s="6" t="str">
        <x:v>Threshold policy</x:v>
      </x:c>
      <x:c r="C88" s="6" t="str">
        <x:v>Dense grid + nominal alarm cap</x:v>
      </x:c>
      <x:c r="D88" s="6" t="str">
        <x:v>grid_cap_policy_v1</x:v>
      </x:c>
      <x:c r="E88" s="6" t="n">
        <x:v>42</x:v>
      </x:c>
      <x:c r="F88" s="6" t="str">
        <x:v>40–47</x:v>
      </x:c>
      <x:c r="G88" s="6" t="str">
        <x:v>2004 Apr–Dec</x:v>
      </x:c>
      <x:c r="H88" s="6" t="str">
        <x:v>input_channels_40_47</x:v>
      </x:c>
      <x:c r="I88" s="9" t="n">
        <x:v>0.3840483991038577</x:v>
      </x:c>
      <x:c r="J88" s="9" t="n">
        <x:v>0.44740846260028433</x:v>
      </x:c>
      <x:c r="K88" s="9" t="n">
        <x:v>0.3996481631387826</x:v>
      </x:c>
      <x:c r="L88" s="9" t="n">
        <x:v>0.8571428571428571</x:v>
      </x:c>
      <x:c r="M88" s="6" t="n">
        <x:v>6</x:v>
      </x:c>
      <x:c r="N88" s="6" t="n">
        <x:v>9</x:v>
      </x:c>
      <x:c r="O88" s="6" t="n">
        <x:v>1</x:v>
      </x:c>
      <x:c r="P88" s="6" t="n">
        <x:v>7</x:v>
      </x:c>
      <x:c r="Q88" s="6" t="n">
        <x:v>15</x:v>
      </x:c>
      <x:c r="R88" s="6" t="n">
        <x:v>35</x:v>
      </x:c>
      <x:c r="S88" s="6" t="n">
        <x:v>40</x:v>
      </x:c>
      <x:c r="T88" s="6" t="n">
        <x:v>250000</x:v>
      </x:c>
      <x:c r="U88" s="8" t="n">
        <x:v>36526</x:v>
      </x:c>
      <x:c r="V88" s="8" t="n">
        <x:v>37987</x:v>
      </x:c>
      <x:c r="W88" s="8" t="n">
        <x:v>37987</x:v>
      </x:c>
      <x:c r="X88" s="8" t="n">
        <x:v>38078</x:v>
      </x:c>
      <x:c r="Y88" s="8" t="n">
        <x:v>38078</x:v>
      </x:c>
      <x:c r="Z88" s="8" t="n">
        <x:v>38353</x:v>
      </x:c>
      <x:c r="AA88" s="6" t="str">
        <x:v>[start,end)</x:v>
      </x:c>
      <x:c r="AB88" s="10" t="n">
        <x:v>18872.712</x:v>
      </x:c>
      <x:c r="AC88" s="10" t="n">
        <x:v>21456207.783</x:v>
      </x:c>
      <x:c r="AD88" s="9" t="n">
        <x:v>0.0008795921530435624</x:v>
      </x:c>
      <x:c r="AE88" s="9" t="n">
        <x:v>0.03272731404963895</x:v>
      </x:c>
      <x:c r="AF88" s="9" t="n">
        <x:v>0.8571428571428571</x:v>
      </x:c>
      <x:c r="AG88" s="6" t="str">
        <x:v>esa-ew-id-duration-v1</x:v>
      </x:c>
      <x:c r="AH88" s="6" t="str">
        <x:v>Real prepared telemetry + real annotations</x:v>
      </x:c>
      <x:c r="AI88" s="6" t="str">
        <x:v>Same saved model scores. Calibration-only threshold change, no retraining.</x:v>
      </x:c>
      <x:c r="AJ88" s="6" t="str">
        <x:v>S069</x:v>
      </x:c>
    </x:row>
    <x:row r="89" ht="43" customHeight="1">
      <x:c r="A89" s="6" t="str">
        <x:v>R088</x:v>
      </x:c>
      <x:c r="B89" s="6" t="str">
        <x:v>Threshold policy</x:v>
      </x:c>
      <x:c r="C89" s="6" t="str">
        <x:v>Original threshold grid</x:v>
      </x:c>
      <x:c r="D89" s="6" t="str">
        <x:v>grid_cap_policy_v1</x:v>
      </x:c>
      <x:c r="E89" s="6" t="n">
        <x:v>42</x:v>
      </x:c>
      <x:c r="F89" s="6" t="str">
        <x:v>40–47</x:v>
      </x:c>
      <x:c r="G89" s="6" t="str">
        <x:v>2005 Apr–Dec</x:v>
      </x:c>
      <x:c r="H89" s="6" t="str">
        <x:v>system_all_channels</x:v>
      </x:c>
      <x:c r="I89" s="9" t="n">
        <x:v>0.8328804736937059</x:v>
      </x:c>
      <x:c r="J89" s="9" t="n">
        <x:v>0.8690551788198424</x:v>
      </x:c>
      <x:c r="K89" s="9" t="n">
        <x:v>0.9991570587963547</x:v>
      </x:c>
      <x:c r="L89" s="9" t="n">
        <x:v>0.5714285714285714</x:v>
      </x:c>
      <x:c r="M89" s="6" t="n">
        <x:v>4</x:v>
      </x:c>
      <x:c r="N89" s="6" t="n">
        <x:v>0</x:v>
      </x:c>
      <x:c r="O89" s="6" t="n">
        <x:v>3</x:v>
      </x:c>
      <x:c r="P89" s="6" t="n">
        <x:v>7</x:v>
      </x:c>
      <x:c r="Q89" s="6" t="n">
        <x:v>4</x:v>
      </x:c>
      <x:c r="R89" s="6" t="n">
        <x:v>5</x:v>
      </x:c>
      <x:c r="S89" s="6" t="n">
        <x:v>40</x:v>
      </x:c>
      <x:c r="T89" s="6" t="n">
        <x:v>250000</x:v>
      </x:c>
      <x:c r="U89" s="8" t="n">
        <x:v>36526</x:v>
      </x:c>
      <x:c r="V89" s="8" t="n">
        <x:v>38353</x:v>
      </x:c>
      <x:c r="W89" s="8" t="n">
        <x:v>38353</x:v>
      </x:c>
      <x:c r="X89" s="8" t="n">
        <x:v>38443</x:v>
      </x:c>
      <x:c r="Y89" s="8" t="n">
        <x:v>38443</x:v>
      </x:c>
      <x:c r="Z89" s="8" t="n">
        <x:v>38718</x:v>
      </x:c>
      <x:c r="AA89" s="6" t="str">
        <x:v>[start,end)</x:v>
      </x:c>
      <x:c r="AB89" s="10" t="n">
        <x:v>16184.184</x:v>
      </x:c>
      <x:c r="AC89" s="10" t="n">
        <x:v>19199659.395</x:v>
      </x:c>
      <x:c r="AD89" s="9" t="n">
        <x:v>0.0008429412036452533</x:v>
      </x:c>
      <x:c r="AE89" s="9" t="n">
        <x:v>0</x:v>
      </x:c>
      <x:c r="AF89" s="9" t="n">
        <x:v>1</x:v>
      </x:c>
      <x:c r="AG89" s="6" t="str">
        <x:v>esa-ew-id-duration-v1</x:v>
      </x:c>
      <x:c r="AH89" s="6" t="str">
        <x:v>Real prepared telemetry + real annotations</x:v>
      </x:c>
      <x:c r="AI89" s="6" t="str">
        <x:v>Same saved model scores. Calibration-only threshold change, no retraining.</x:v>
      </x:c>
      <x:c r="AJ89" s="6" t="str">
        <x:v>S069</x:v>
      </x:c>
    </x:row>
    <x:row r="90" ht="43" customHeight="1">
      <x:c r="A90" s="6" t="str">
        <x:v>R089</x:v>
      </x:c>
      <x:c r="B90" s="6" t="str">
        <x:v>Threshold policy</x:v>
      </x:c>
      <x:c r="C90" s="6" t="str">
        <x:v>Original threshold grid</x:v>
      </x:c>
      <x:c r="D90" s="6" t="str">
        <x:v>grid_cap_policy_v1</x:v>
      </x:c>
      <x:c r="E90" s="6" t="n">
        <x:v>42</x:v>
      </x:c>
      <x:c r="F90" s="6" t="str">
        <x:v>40–47</x:v>
      </x:c>
      <x:c r="G90" s="6" t="str">
        <x:v>2005 Apr–Dec</x:v>
      </x:c>
      <x:c r="H90" s="6" t="str">
        <x:v>input_channels_40_47</x:v>
      </x:c>
      <x:c r="I90" s="9" t="n">
        <x:v>0.8328804736937059</x:v>
      </x:c>
      <x:c r="J90" s="9" t="n">
        <x:v>0.8690551788198424</x:v>
      </x:c>
      <x:c r="K90" s="9" t="n">
        <x:v>0.9991570587963547</x:v>
      </x:c>
      <x:c r="L90" s="9" t="n">
        <x:v>0.5714285714285714</x:v>
      </x:c>
      <x:c r="M90" s="6" t="n">
        <x:v>4</x:v>
      </x:c>
      <x:c r="N90" s="6" t="n">
        <x:v>0</x:v>
      </x:c>
      <x:c r="O90" s="6" t="n">
        <x:v>3</x:v>
      </x:c>
      <x:c r="P90" s="6" t="n">
        <x:v>7</x:v>
      </x:c>
      <x:c r="Q90" s="6" t="n">
        <x:v>4</x:v>
      </x:c>
      <x:c r="R90" s="6" t="n">
        <x:v>5</x:v>
      </x:c>
      <x:c r="S90" s="6" t="n">
        <x:v>40</x:v>
      </x:c>
      <x:c r="T90" s="6" t="n">
        <x:v>250000</x:v>
      </x:c>
      <x:c r="U90" s="8" t="n">
        <x:v>36526</x:v>
      </x:c>
      <x:c r="V90" s="8" t="n">
        <x:v>38353</x:v>
      </x:c>
      <x:c r="W90" s="8" t="n">
        <x:v>38353</x:v>
      </x:c>
      <x:c r="X90" s="8" t="n">
        <x:v>38443</x:v>
      </x:c>
      <x:c r="Y90" s="8" t="n">
        <x:v>38443</x:v>
      </x:c>
      <x:c r="Z90" s="8" t="n">
        <x:v>38718</x:v>
      </x:c>
      <x:c r="AA90" s="6" t="str">
        <x:v>[start,end)</x:v>
      </x:c>
      <x:c r="AB90" s="10" t="n">
        <x:v>16184.184</x:v>
      </x:c>
      <x:c r="AC90" s="10" t="n">
        <x:v>19199659.395</x:v>
      </x:c>
      <x:c r="AD90" s="9" t="n">
        <x:v>0.0008429412036452533</x:v>
      </x:c>
      <x:c r="AE90" s="9" t="n">
        <x:v>0</x:v>
      </x:c>
      <x:c r="AF90" s="9" t="n">
        <x:v>1</x:v>
      </x:c>
      <x:c r="AG90" s="6" t="str">
        <x:v>esa-ew-id-duration-v1</x:v>
      </x:c>
      <x:c r="AH90" s="6" t="str">
        <x:v>Real prepared telemetry + real annotations</x:v>
      </x:c>
      <x:c r="AI90" s="6" t="str">
        <x:v>Same saved model scores. Calibration-only threshold change, no retraining.</x:v>
      </x:c>
      <x:c r="AJ90" s="6" t="str">
        <x:v>S069</x:v>
      </x:c>
    </x:row>
    <x:row r="91" ht="43" customHeight="1">
      <x:c r="A91" s="6" t="str">
        <x:v>R090</x:v>
      </x:c>
      <x:c r="B91" s="6" t="str">
        <x:v>Threshold policy</x:v>
      </x:c>
      <x:c r="C91" s="6" t="str">
        <x:v>Dense grid + nominal alarm cap</x:v>
      </x:c>
      <x:c r="D91" s="6" t="str">
        <x:v>grid_cap_policy_v1</x:v>
      </x:c>
      <x:c r="E91" s="6" t="n">
        <x:v>42</x:v>
      </x:c>
      <x:c r="F91" s="6" t="str">
        <x:v>40–47</x:v>
      </x:c>
      <x:c r="G91" s="6" t="str">
        <x:v>2005 Apr–Dec</x:v>
      </x:c>
      <x:c r="H91" s="6" t="str">
        <x:v>system_all_channels</x:v>
      </x:c>
      <x:c r="I91" s="9" t="n">
        <x:v>0.936708334392976</x:v>
      </x:c>
      <x:c r="J91" s="9" t="n">
        <x:v>0.08239692971786246</x:v>
      </x:c>
      <x:c r="K91" s="9" t="n">
        <x:v>0.06702202560088698</x:v>
      </x:c>
      <x:c r="L91" s="9" t="n">
        <x:v>1</x:v>
      </x:c>
      <x:c r="M91" s="6" t="n">
        <x:v>7</x:v>
      </x:c>
      <x:c r="N91" s="6" t="n">
        <x:v>95</x:v>
      </x:c>
      <x:c r="O91" s="6" t="n">
        <x:v>0</x:v>
      </x:c>
      <x:c r="P91" s="6" t="n">
        <x:v>7</x:v>
      </x:c>
      <x:c r="Q91" s="6" t="n">
        <x:v>140</x:v>
      </x:c>
      <x:c r="R91" s="6" t="n">
        <x:v>5</x:v>
      </x:c>
      <x:c r="S91" s="6" t="n">
        <x:v>40</x:v>
      </x:c>
      <x:c r="T91" s="6" t="n">
        <x:v>250000</x:v>
      </x:c>
      <x:c r="U91" s="8" t="n">
        <x:v>36526</x:v>
      </x:c>
      <x:c r="V91" s="8" t="n">
        <x:v>38353</x:v>
      </x:c>
      <x:c r="W91" s="8" t="n">
        <x:v>38353</x:v>
      </x:c>
      <x:c r="X91" s="8" t="n">
        <x:v>38443</x:v>
      </x:c>
      <x:c r="Y91" s="8" t="n">
        <x:v>38443</x:v>
      </x:c>
      <x:c r="Z91" s="8" t="n">
        <x:v>38718</x:v>
      </x:c>
      <x:c r="AA91" s="6" t="str">
        <x:v>[start,end)</x:v>
      </x:c>
      <x:c r="AB91" s="10" t="n">
        <x:v>449144.184</x:v>
      </x:c>
      <x:c r="AC91" s="10" t="n">
        <x:v>19199659.395</x:v>
      </x:c>
      <x:c r="AD91" s="9" t="n">
        <x:v>0.023393341244218435</x:v>
      </x:c>
      <x:c r="AE91" s="9" t="n">
        <x:v>0.3454549816350778</x:v>
      </x:c>
      <x:c r="AF91" s="9" t="n">
        <x:v>0.15217391304347827</x:v>
      </x:c>
      <x:c r="AG91" s="6" t="str">
        <x:v>esa-ew-id-duration-v1</x:v>
      </x:c>
      <x:c r="AH91" s="6" t="str">
        <x:v>Real prepared telemetry + real annotations</x:v>
      </x:c>
      <x:c r="AI91" s="6" t="str">
        <x:v>Same saved model scores. Calibration-only threshold change, no retraining.</x:v>
      </x:c>
      <x:c r="AJ91" s="6" t="str">
        <x:v>S069</x:v>
      </x:c>
    </x:row>
    <x:row r="92" ht="43" customHeight="1">
      <x:c r="A92" s="6" t="str">
        <x:v>R091</x:v>
      </x:c>
      <x:c r="B92" s="6" t="str">
        <x:v>Threshold policy</x:v>
      </x:c>
      <x:c r="C92" s="6" t="str">
        <x:v>Dense grid + nominal alarm cap</x:v>
      </x:c>
      <x:c r="D92" s="6" t="str">
        <x:v>grid_cap_policy_v1</x:v>
      </x:c>
      <x:c r="E92" s="6" t="n">
        <x:v>42</x:v>
      </x:c>
      <x:c r="F92" s="6" t="str">
        <x:v>40–47</x:v>
      </x:c>
      <x:c r="G92" s="6" t="str">
        <x:v>2005 Apr–Dec</x:v>
      </x:c>
      <x:c r="H92" s="6" t="str">
        <x:v>input_channels_40_47</x:v>
      </x:c>
      <x:c r="I92" s="9" t="n">
        <x:v>0.936708334392976</x:v>
      </x:c>
      <x:c r="J92" s="9" t="n">
        <x:v>0.08239692971786246</x:v>
      </x:c>
      <x:c r="K92" s="9" t="n">
        <x:v>0.06702202560088698</x:v>
      </x:c>
      <x:c r="L92" s="9" t="n">
        <x:v>1</x:v>
      </x:c>
      <x:c r="M92" s="6" t="n">
        <x:v>7</x:v>
      </x:c>
      <x:c r="N92" s="6" t="n">
        <x:v>95</x:v>
      </x:c>
      <x:c r="O92" s="6" t="n">
        <x:v>0</x:v>
      </x:c>
      <x:c r="P92" s="6" t="n">
        <x:v>7</x:v>
      </x:c>
      <x:c r="Q92" s="6" t="n">
        <x:v>140</x:v>
      </x:c>
      <x:c r="R92" s="6" t="n">
        <x:v>5</x:v>
      </x:c>
      <x:c r="S92" s="6" t="n">
        <x:v>40</x:v>
      </x:c>
      <x:c r="T92" s="6" t="n">
        <x:v>250000</x:v>
      </x:c>
      <x:c r="U92" s="8" t="n">
        <x:v>36526</x:v>
      </x:c>
      <x:c r="V92" s="8" t="n">
        <x:v>38353</x:v>
      </x:c>
      <x:c r="W92" s="8" t="n">
        <x:v>38353</x:v>
      </x:c>
      <x:c r="X92" s="8" t="n">
        <x:v>38443</x:v>
      </x:c>
      <x:c r="Y92" s="8" t="n">
        <x:v>38443</x:v>
      </x:c>
      <x:c r="Z92" s="8" t="n">
        <x:v>38718</x:v>
      </x:c>
      <x:c r="AA92" s="6" t="str">
        <x:v>[start,end)</x:v>
      </x:c>
      <x:c r="AB92" s="10" t="n">
        <x:v>449144.184</x:v>
      </x:c>
      <x:c r="AC92" s="10" t="n">
        <x:v>19199659.395</x:v>
      </x:c>
      <x:c r="AD92" s="9" t="n">
        <x:v>0.023393341244218435</x:v>
      </x:c>
      <x:c r="AE92" s="9" t="n">
        <x:v>0.3454549816350778</x:v>
      </x:c>
      <x:c r="AF92" s="9" t="n">
        <x:v>0.16279069767441862</x:v>
      </x:c>
      <x:c r="AG92" s="6" t="str">
        <x:v>esa-ew-id-duration-v1</x:v>
      </x:c>
      <x:c r="AH92" s="6" t="str">
        <x:v>Real prepared telemetry + real annotations</x:v>
      </x:c>
      <x:c r="AI92" s="6" t="str">
        <x:v>Same saved model scores. Calibration-only threshold change, no retraining.</x:v>
      </x:c>
      <x:c r="AJ92" s="6" t="str">
        <x:v>S069</x:v>
      </x:c>
    </x:row>
    <x:row r="93" ht="43" customHeight="1">
      <x:c r="A93" s="6" t="str">
        <x:v>R092</x:v>
      </x:c>
      <x:c r="B93" s="6" t="str">
        <x:v>Forecasting</x:v>
      </x:c>
      <x:c r="C93" s="6" t="str">
        <x:v>Persistence forecast</x:v>
      </x:c>
      <x:c r="D93" s="6" t="str">
        <x:v>forecast_2003_seed42</x:v>
      </x:c>
      <x:c r="E93" s="6" t="n">
        <x:v>42</x:v>
      </x:c>
      <x:c r="F93" s="6" t="str">
        <x:v>40, 41, 42, 43, 44, 45, 46, 47</x:v>
      </x:c>
      <x:c r="G93" s="6" t="str">
        <x:v>2003 Apr–Dec</x:v>
      </x:c>
      <x:c r="H93" s="6" t="str">
        <x:v>system_all_channels</x:v>
      </x:c>
      <x:c r="I93" s="9" t="n">
        <x:v>0.057466377021867514</x:v>
      </x:c>
      <x:c r="J93" s="9" t="n">
        <x:v>0.04285214133258862</x:v>
      </x:c>
      <x:c r="K93" s="9" t="n">
        <x:v>0.034879578924345796</x:v>
      </x:c>
      <x:c r="L93" s="9" t="n">
        <x:v>0.5</x:v>
      </x:c>
      <x:c r="M93" s="6" t="n">
        <x:v>3</x:v>
      </x:c>
      <x:c r="N93" s="6" t="n">
        <x:v>83</x:v>
      </x:c>
      <x:c r="O93" s="6" t="n">
        <x:v>3</x:v>
      </x:c>
      <x:c r="P93" s="6" t="n">
        <x:v>6</x:v>
      </x:c>
      <x:c r="Q93" s="6" t="n">
        <x:v>97</x:v>
      </x:c>
      <x:c r="R93" s="6" t="n">
        <x:v>0</x:v>
      </x:c>
      <x:c r="S93" s="6" t="n">
        <x:v>40</x:v>
      </x:c>
      <x:c r="T93" s="6" t="n">
        <x:v>250000</x:v>
      </x:c>
      <x:c r="U93" s="8" t="n">
        <x:v>36526</x:v>
      </x:c>
      <x:c r="V93" s="8" t="n">
        <x:v>37622</x:v>
      </x:c>
      <x:c r="W93" s="8" t="n">
        <x:v>37622</x:v>
      </x:c>
      <x:c r="X93" s="8" t="n">
        <x:v>37712</x:v>
      </x:c>
      <x:c r="Y93" s="8" t="n">
        <x:v>37712</x:v>
      </x:c>
      <x:c r="Z93" s="8" t="n">
        <x:v>37987</x:v>
      </x:c>
      <x:c r="AA93" s="6" t="str">
        <x:v>[start,end)</x:v>
      </x:c>
      <x:c r="AB93" s="10" t="n">
        <x:v>2610</x:v>
      </x:c>
      <x:c r="AC93" s="10" t="n">
        <x:v>21981260.799</x:v>
      </x:c>
      <x:c r="AD93" s="9" t="n">
        <x:v>0.00011873750208712952</x:v>
      </x:c>
      <x:c r="AE93" s="9" t="n">
        <x:v>0.30181856290222586</x:v>
      </x:c>
      <x:c r="AF93" s="9" t="n">
        <x:v>0.21428571428571427</x:v>
      </x:c>
      <x:c r="AG93" s="6" t="str">
        <x:v>esa-ew-id-duration-v1</x:v>
      </x:c>
      <x:c r="AH93" s="6" t="str">
        <x:v>Real prepared telemetry + real annotations</x:v>
      </x:c>
      <x:c r="AI93" s="6" t="str">
        <x:v>Causal forecast policy. First 256 samples unscored with zero alarms. Different information budget from retrospective AE.</x:v>
      </x:c>
      <x:c r="AJ93" s="6" t="str">
        <x:v>S071</x:v>
      </x:c>
    </x:row>
    <x:row r="94" ht="43" customHeight="1">
      <x:c r="A94" s="6" t="str">
        <x:v>R093</x:v>
      </x:c>
      <x:c r="B94" s="6" t="str">
        <x:v>Forecasting</x:v>
      </x:c>
      <x:c r="C94" s="6" t="str">
        <x:v>MLP forecast</x:v>
      </x:c>
      <x:c r="D94" s="6" t="str">
        <x:v>forecast_2003_seed42</x:v>
      </x:c>
      <x:c r="E94" s="6" t="n">
        <x:v>42</x:v>
      </x:c>
      <x:c r="F94" s="6" t="str">
        <x:v>40, 41, 42, 43, 44, 45, 46, 47</x:v>
      </x:c>
      <x:c r="G94" s="6" t="str">
        <x:v>2003 Apr–Dec</x:v>
      </x:c>
      <x:c r="H94" s="6" t="str">
        <x:v>system_all_channels</x:v>
      </x:c>
      <x:c r="I94" s="9" t="n">
        <x:v>0.06023610549530857</x:v>
      </x:c>
      <x:c r="J94" s="9" t="n">
        <x:v>0.08277370546073753</x:v>
      </x:c>
      <x:c r="K94" s="9" t="n">
        <x:v>0.06756111243775544</x:v>
      </x:c>
      <x:c r="L94" s="9" t="n">
        <x:v>0.8333333333333334</x:v>
      </x:c>
      <x:c r="M94" s="6" t="n">
        <x:v>5</x:v>
      </x:c>
      <x:c r="N94" s="6" t="n">
        <x:v>69</x:v>
      </x:c>
      <x:c r="O94" s="6" t="n">
        <x:v>1</x:v>
      </x:c>
      <x:c r="P94" s="6" t="n">
        <x:v>6</x:v>
      </x:c>
      <x:c r="Q94" s="6" t="n">
        <x:v>109</x:v>
      </x:c>
      <x:c r="R94" s="6" t="n">
        <x:v>15</x:v>
      </x:c>
      <x:c r="S94" s="6" t="n">
        <x:v>40</x:v>
      </x:c>
      <x:c r="T94" s="6" t="n">
        <x:v>250000</x:v>
      </x:c>
      <x:c r="U94" s="8" t="n">
        <x:v>36526</x:v>
      </x:c>
      <x:c r="V94" s="8" t="n">
        <x:v>37622</x:v>
      </x:c>
      <x:c r="W94" s="8" t="n">
        <x:v>37622</x:v>
      </x:c>
      <x:c r="X94" s="8" t="n">
        <x:v>37712</x:v>
      </x:c>
      <x:c r="Y94" s="8" t="n">
        <x:v>37712</x:v>
      </x:c>
      <x:c r="Z94" s="8" t="n">
        <x:v>37987</x:v>
      </x:c>
      <x:c r="AA94" s="6" t="str">
        <x:v>[start,end)</x:v>
      </x:c>
      <x:c r="AB94" s="10" t="n">
        <x:v>2100</x:v>
      </x:c>
      <x:c r="AC94" s="10" t="n">
        <x:v>21981260.799</x:v>
      </x:c>
      <x:c r="AD94" s="9" t="n">
        <x:v>0.00009553592121958054</x:v>
      </x:c>
      <x:c r="AE94" s="9" t="n">
        <x:v>0.25090940771389864</x:v>
      </x:c>
      <x:c r="AF94" s="9" t="n">
        <x:v>0.125</x:v>
      </x:c>
      <x:c r="AG94" s="6" t="str">
        <x:v>esa-ew-id-duration-v1</x:v>
      </x:c>
      <x:c r="AH94" s="6" t="str">
        <x:v>Real prepared telemetry + real annotations</x:v>
      </x:c>
      <x:c r="AI94" s="6" t="str">
        <x:v>Causal forecast policy. First 256 samples unscored with zero alarms. Different information budget from retrospective AE.</x:v>
      </x:c>
      <x:c r="AJ94" s="6" t="str">
        <x:v>S071</x:v>
      </x:c>
    </x:row>
    <x:row r="95" ht="43" customHeight="1">
      <x:c r="A95" s="6" t="str">
        <x:v>R094</x:v>
      </x:c>
      <x:c r="B95" s="6" t="str">
        <x:v>Forecasting</x:v>
      </x:c>
      <x:c r="C95" s="6" t="str">
        <x:v>Transformer forecast</x:v>
      </x:c>
      <x:c r="D95" s="6" t="str">
        <x:v>forecast_2003_seed42</x:v>
      </x:c>
      <x:c r="E95" s="6" t="n">
        <x:v>42</x:v>
      </x:c>
      <x:c r="F95" s="6" t="str">
        <x:v>40, 41, 42, 43, 44, 45, 46, 47</x:v>
      </x:c>
      <x:c r="G95" s="6" t="str">
        <x:v>2003 Apr–Dec</x:v>
      </x:c>
      <x:c r="H95" s="6" t="str">
        <x:v>system_all_channels</x:v>
      </x:c>
      <x:c r="I95" s="9" t="n">
        <x:v>0.057466377021867514</x:v>
      </x:c>
      <x:c r="J95" s="9" t="n">
        <x:v>0.08669589964590999</x:v>
      </x:c>
      <x:c r="K95" s="9" t="n">
        <x:v>0.0705805281945907</x:v>
      </x:c>
      <x:c r="L95" s="9" t="n">
        <x:v>1</x:v>
      </x:c>
      <x:c r="M95" s="6" t="n">
        <x:v>6</x:v>
      </x:c>
      <x:c r="N95" s="6" t="n">
        <x:v>79</x:v>
      </x:c>
      <x:c r="O95" s="6" t="n">
        <x:v>0</x:v>
      </x:c>
      <x:c r="P95" s="6" t="n">
        <x:v>6</x:v>
      </x:c>
      <x:c r="Q95" s="6" t="n">
        <x:v>116</x:v>
      </x:c>
      <x:c r="R95" s="6" t="n">
        <x:v>10</x:v>
      </x:c>
      <x:c r="S95" s="6" t="n">
        <x:v>40</x:v>
      </x:c>
      <x:c r="T95" s="6" t="n">
        <x:v>250000</x:v>
      </x:c>
      <x:c r="U95" s="8" t="n">
        <x:v>36526</x:v>
      </x:c>
      <x:c r="V95" s="8" t="n">
        <x:v>37622</x:v>
      </x:c>
      <x:c r="W95" s="8" t="n">
        <x:v>37622</x:v>
      </x:c>
      <x:c r="X95" s="8" t="n">
        <x:v>37712</x:v>
      </x:c>
      <x:c r="Y95" s="8" t="n">
        <x:v>37712</x:v>
      </x:c>
      <x:c r="Z95" s="8" t="n">
        <x:v>37987</x:v>
      </x:c>
      <x:c r="AA95" s="6" t="str">
        <x:v>[start,end)</x:v>
      </x:c>
      <x:c r="AB95" s="10" t="n">
        <x:v>2400</x:v>
      </x:c>
      <x:c r="AC95" s="10" t="n">
        <x:v>21981260.799</x:v>
      </x:c>
      <x:c r="AD95" s="9" t="n">
        <x:v>0.00010918390996517147</x:v>
      </x:c>
      <x:c r="AE95" s="9" t="n">
        <x:v>0.2872730899912752</x:v>
      </x:c>
      <x:c r="AF95" s="9" t="n">
        <x:v>0.16216216216216217</x:v>
      </x:c>
      <x:c r="AG95" s="6" t="str">
        <x:v>esa-ew-id-duration-v1</x:v>
      </x:c>
      <x:c r="AH95" s="6" t="str">
        <x:v>Real prepared telemetry + real annotations</x:v>
      </x:c>
      <x:c r="AI95" s="6" t="str">
        <x:v>Causal forecast policy. First 256 samples unscored with zero alarms. Different information budget from retrospective AE.</x:v>
      </x:c>
      <x:c r="AJ95" s="6" t="str">
        <x:v>S071</x:v>
      </x:c>
    </x:row>
    <x:row r="96" ht="43" customHeight="1">
      <x:c r="A96" s="6" t="str">
        <x:v>R095</x:v>
      </x:c>
      <x:c r="B96" s="6" t="str">
        <x:v>Forecasting</x:v>
      </x:c>
      <x:c r="C96" s="6" t="str">
        <x:v>Residual Transformer forecast</x:v>
      </x:c>
      <x:c r="D96" s="6" t="str">
        <x:v>forecast_residual_2003_seed42</x:v>
      </x:c>
      <x:c r="E96" s="6" t="n">
        <x:v>42</x:v>
      </x:c>
      <x:c r="F96" s="6" t="str">
        <x:v>40, 41, 42, 43, 44, 45, 46, 47</x:v>
      </x:c>
      <x:c r="G96" s="6" t="str">
        <x:v>2003 Apr–Dec</x:v>
      </x:c>
      <x:c r="H96" s="6" t="str">
        <x:v>system_all_channels</x:v>
      </x:c>
      <x:c r="I96" s="9" t="n">
        <x:v>0.057466377021867514</x:v>
      </x:c>
      <x:c r="J96" s="9" t="n">
        <x:v>0.07061360462223898</x:v>
      </x:c>
      <x:c r="K96" s="9" t="n">
        <x:v>0.05746475412031098</x:v>
      </x:c>
      <x:c r="L96" s="9" t="n">
        <x:v>0.8333333333333334</x:v>
      </x:c>
      <x:c r="M96" s="6" t="n">
        <x:v>5</x:v>
      </x:c>
      <x:c r="N96" s="6" t="n">
        <x:v>82</x:v>
      </x:c>
      <x:c r="O96" s="6" t="n">
        <x:v>1</x:v>
      </x:c>
      <x:c r="P96" s="6" t="n">
        <x:v>6</x:v>
      </x:c>
      <x:c r="Q96" s="6" t="n">
        <x:v>117</x:v>
      </x:c>
      <x:c r="R96" s="6" t="n">
        <x:v>15</x:v>
      </x:c>
      <x:c r="S96" s="6" t="n">
        <x:v>40</x:v>
      </x:c>
      <x:c r="T96" s="6" t="n">
        <x:v>250000</x:v>
      </x:c>
      <x:c r="U96" s="8" t="n">
        <x:v>36526</x:v>
      </x:c>
      <x:c r="V96" s="8" t="n">
        <x:v>37622</x:v>
      </x:c>
      <x:c r="W96" s="8" t="n">
        <x:v>37622</x:v>
      </x:c>
      <x:c r="X96" s="8" t="n">
        <x:v>37712</x:v>
      </x:c>
      <x:c r="Y96" s="8" t="n">
        <x:v>37712</x:v>
      </x:c>
      <x:c r="Z96" s="8" t="n">
        <x:v>37987</x:v>
      </x:c>
      <x:c r="AA96" s="6" t="str">
        <x:v>[start,end)</x:v>
      </x:c>
      <x:c r="AB96" s="10" t="n">
        <x:v>2490</x:v>
      </x:c>
      <x:c r="AC96" s="10" t="n">
        <x:v>21981260.799</x:v>
      </x:c>
      <x:c r="AD96" s="9" t="n">
        <x:v>0.00011327830658891536</x:v>
      </x:c>
      <x:c r="AE96" s="9" t="n">
        <x:v>0.2981821946744882</x:v>
      </x:c>
      <x:c r="AF96" s="9" t="n">
        <x:v>0.14285714285714285</x:v>
      </x:c>
      <x:c r="AG96" s="6" t="str">
        <x:v>esa-ew-id-duration-v1</x:v>
      </x:c>
      <x:c r="AH96" s="6" t="str">
        <x:v>Real prepared telemetry + real annotations</x:v>
      </x:c>
      <x:c r="AI96" s="6" t="str">
        <x:v>Causal forecast policy. First 256 samples unscored with zero alarms. Different information budget from retrospective AE.</x:v>
      </x:c>
      <x:c r="AJ96" s="6" t="str">
        <x:v>S076</x:v>
      </x:c>
    </x:row>
    <x:row r="97" ht="43" customHeight="1">
      <x:c r="A97" s="6" t="str">
        <x:v>R096</x:v>
      </x:c>
      <x:c r="B97" s="6" t="str">
        <x:v>Alarm confirmation</x:v>
      </x:c>
      <x:c r="C97" s="6" t="str">
        <x:v>persistence / baseline</x:v>
      </x:c>
      <x:c r="D97" s="6" t="str">
        <x:v>causal_alarm_2003_v1</x:v>
      </x:c>
      <x:c r="E97" s="6" t="n">
        <x:v>42</x:v>
      </x:c>
      <x:c r="F97" s="6" t="str">
        <x:v>40–47</x:v>
      </x:c>
      <x:c r="G97" s="6" t="str">
        <x:v>2003 Apr–Dec</x:v>
      </x:c>
      <x:c r="H97" s="6" t="str">
        <x:v>system_all_channels</x:v>
      </x:c>
      <x:c r="I97" s="9" t="n">
        <x:v>0.057466377021867514</x:v>
      </x:c>
      <x:c r="J97" s="9" t="n">
        <x:v>0.04285214133258862</x:v>
      </x:c>
      <x:c r="K97" s="9" t="n">
        <x:v>0.034879578924345796</x:v>
      </x:c>
      <x:c r="L97" s="9" t="n">
        <x:v>0.5</x:v>
      </x:c>
      <x:c r="M97" s="6" t="n">
        <x:v>3</x:v>
      </x:c>
      <x:c r="N97" s="6" t="n">
        <x:v>83</x:v>
      </x:c>
      <x:c r="O97" s="6" t="n">
        <x:v>3</x:v>
      </x:c>
      <x:c r="P97" s="6" t="n">
        <x:v>6</x:v>
      </x:c>
      <x:c r="Q97" s="6" t="n">
        <x:v>97</x:v>
      </x:c>
      <x:c r="R97" s="6" t="n">
        <x:v>0</x:v>
      </x:c>
      <x:c r="S97" s="6" t="n">
        <x:v>0</x:v>
      </x:c>
      <x:c r="T97" s="6" t="n">
        <x:v>250000</x:v>
      </x:c>
      <x:c r="U97" s="8" t="n">
        <x:v>36526</x:v>
      </x:c>
      <x:c r="V97" s="8" t="n">
        <x:v>37622</x:v>
      </x:c>
      <x:c r="W97" s="8" t="n">
        <x:v>37622</x:v>
      </x:c>
      <x:c r="X97" s="8" t="n">
        <x:v>37712</x:v>
      </x:c>
      <x:c r="Y97" s="8" t="n">
        <x:v>37712</x:v>
      </x:c>
      <x:c r="Z97" s="8" t="n">
        <x:v>37987</x:v>
      </x:c>
      <x:c r="AA97" s="6" t="str">
        <x:v>[start,end)</x:v>
      </x:c>
      <x:c r="AB97" s="10" t="n">
        <x:v>2610</x:v>
      </x:c>
      <x:c r="AC97" s="10" t="n">
        <x:v>21981260.799</x:v>
      </x:c>
      <x:c r="AD97" s="9" t="n">
        <x:v>0.00011873750208712952</x:v>
      </x:c>
      <x:c r="AE97" s="9" t="n">
        <x:v>0.30181856290222586</x:v>
      </x:c>
      <x:c r="AF97" s="9" t="n">
        <x:v>0.21428571428571427</x:v>
      </x:c>
      <x:c r="AG97" s="6" t="str">
        <x:v>esa-ew-id-duration-v1</x:v>
      </x:c>
      <x:c r="AH97" s="6" t="str">
        <x:v>Real prepared telemetry + real annotations</x:v>
      </x:c>
      <x:c r="AI97" s="6" t="str">
        <x:v>Existing forecast checkpoints. Calibration chooses hits/window. No retraining.</x:v>
      </x:c>
      <x:c r="AJ97" s="6" t="str">
        <x:v>S079</x:v>
      </x:c>
    </x:row>
    <x:row r="98" ht="43" customHeight="1">
      <x:c r="A98" s="6" t="str">
        <x:v>R097</x:v>
      </x:c>
      <x:c r="B98" s="6" t="str">
        <x:v>Alarm confirmation</x:v>
      </x:c>
      <x:c r="C98" s="6" t="str">
        <x:v>persistence / confirmed</x:v>
      </x:c>
      <x:c r="D98" s="6" t="str">
        <x:v>causal_alarm_2003_v1</x:v>
      </x:c>
      <x:c r="E98" s="6" t="n">
        <x:v>42</x:v>
      </x:c>
      <x:c r="F98" s="6" t="str">
        <x:v>40–47</x:v>
      </x:c>
      <x:c r="G98" s="6" t="str">
        <x:v>2003 Apr–Dec</x:v>
      </x:c>
      <x:c r="H98" s="6" t="str">
        <x:v>system_all_channels</x:v>
      </x:c>
      <x:c r="I98" s="9" t="n">
        <x:v>0.7142857142857143</x:v>
      </x:c>
      <x:c r="J98" s="9" t="n">
        <x:v>0.2272718249250205</x:v>
      </x:c>
      <x:c r="K98" s="9" t="n">
        <x:v>0.24999863520112545</x:v>
      </x:c>
      <x:c r="L98" s="9" t="n">
        <x:v>0.16666666666666666</x:v>
      </x:c>
      <x:c r="M98" s="6" t="n">
        <x:v>1</x:v>
      </x:c>
      <x:c r="N98" s="6" t="n">
        <x:v>3</x:v>
      </x:c>
      <x:c r="O98" s="6" t="n">
        <x:v>5</x:v>
      </x:c>
      <x:c r="P98" s="6" t="n">
        <x:v>6</x:v>
      </x:c>
      <x:c r="Q98" s="6" t="n">
        <x:v>4</x:v>
      </x:c>
      <x:c r="R98" s="6" t="n">
        <x:v>0</x:v>
      </x:c>
      <x:c r="S98" s="6" t="n">
        <x:v>0</x:v>
      </x:c>
      <x:c r="T98" s="6" t="n">
        <x:v>250000</x:v>
      </x:c>
      <x:c r="U98" s="8" t="n">
        <x:v>36526</x:v>
      </x:c>
      <x:c r="V98" s="8" t="n">
        <x:v>37622</x:v>
      </x:c>
      <x:c r="W98" s="8" t="n">
        <x:v>37622</x:v>
      </x:c>
      <x:c r="X98" s="8" t="n">
        <x:v>37712</x:v>
      </x:c>
      <x:c r="Y98" s="8" t="n">
        <x:v>37712</x:v>
      </x:c>
      <x:c r="Z98" s="8" t="n">
        <x:v>37987</x:v>
      </x:c>
      <x:c r="AA98" s="6" t="str">
        <x:v>[start,end)</x:v>
      </x:c>
      <x:c r="AB98" s="10" t="n">
        <x:v>120</x:v>
      </x:c>
      <x:c r="AC98" s="10" t="n">
        <x:v>21981260.799</x:v>
      </x:c>
      <x:c r="AD98" s="9" t="n">
        <x:v>0.000005459195498214164</x:v>
      </x:c>
      <x:c r="AE98" s="9" t="n">
        <x:v>0.010909104683212984</x:v>
      </x:c>
      <x:c r="AF98" s="9" t="n">
        <x:v>1</x:v>
      </x:c>
      <x:c r="AG98" s="6" t="str">
        <x:v>esa-ew-id-duration-v1</x:v>
      </x:c>
      <x:c r="AH98" s="6" t="str">
        <x:v>Real prepared telemetry + real annotations</x:v>
      </x:c>
      <x:c r="AI98" s="6" t="str">
        <x:v>Existing forecast checkpoints. Calibration chooses hits/window. No retraining.</x:v>
      </x:c>
      <x:c r="AJ98" s="6" t="str">
        <x:v>S079</x:v>
      </x:c>
    </x:row>
    <x:row r="99" ht="43" customHeight="1">
      <x:c r="A99" s="6" t="str">
        <x:v>R098</x:v>
      </x:c>
      <x:c r="B99" s="6" t="str">
        <x:v>Alarm confirmation</x:v>
      </x:c>
      <x:c r="C99" s="6" t="str">
        <x:v>mlp / baseline</x:v>
      </x:c>
      <x:c r="D99" s="6" t="str">
        <x:v>causal_alarm_2003_v1</x:v>
      </x:c>
      <x:c r="E99" s="6" t="n">
        <x:v>42</x:v>
      </x:c>
      <x:c r="F99" s="6" t="str">
        <x:v>40–47</x:v>
      </x:c>
      <x:c r="G99" s="6" t="str">
        <x:v>2003 Apr–Dec</x:v>
      </x:c>
      <x:c r="H99" s="6" t="str">
        <x:v>system_all_channels</x:v>
      </x:c>
      <x:c r="I99" s="9" t="n">
        <x:v>0.06023610549530857</x:v>
      </x:c>
      <x:c r="J99" s="9" t="n">
        <x:v>0.08277370546073753</x:v>
      </x:c>
      <x:c r="K99" s="9" t="n">
        <x:v>0.06756111243775544</x:v>
      </x:c>
      <x:c r="L99" s="9" t="n">
        <x:v>0.8333333333333334</x:v>
      </x:c>
      <x:c r="M99" s="6" t="n">
        <x:v>5</x:v>
      </x:c>
      <x:c r="N99" s="6" t="n">
        <x:v>69</x:v>
      </x:c>
      <x:c r="O99" s="6" t="n">
        <x:v>1</x:v>
      </x:c>
      <x:c r="P99" s="6" t="n">
        <x:v>6</x:v>
      </x:c>
      <x:c r="Q99" s="6" t="n">
        <x:v>109</x:v>
      </x:c>
      <x:c r="R99" s="6" t="n">
        <x:v>15</x:v>
      </x:c>
      <x:c r="S99" s="6" t="n">
        <x:v>40</x:v>
      </x:c>
      <x:c r="T99" s="6" t="n">
        <x:v>250000</x:v>
      </x:c>
      <x:c r="U99" s="8" t="n">
        <x:v>36526</x:v>
      </x:c>
      <x:c r="V99" s="8" t="n">
        <x:v>37622</x:v>
      </x:c>
      <x:c r="W99" s="8" t="n">
        <x:v>37622</x:v>
      </x:c>
      <x:c r="X99" s="8" t="n">
        <x:v>37712</x:v>
      </x:c>
      <x:c r="Y99" s="8" t="n">
        <x:v>37712</x:v>
      </x:c>
      <x:c r="Z99" s="8" t="n">
        <x:v>37987</x:v>
      </x:c>
      <x:c r="AA99" s="6" t="str">
        <x:v>[start,end)</x:v>
      </x:c>
      <x:c r="AB99" s="10" t="n">
        <x:v>2100</x:v>
      </x:c>
      <x:c r="AC99" s="10" t="n">
        <x:v>21981260.799</x:v>
      </x:c>
      <x:c r="AD99" s="9" t="n">
        <x:v>0.00009553592121958054</x:v>
      </x:c>
      <x:c r="AE99" s="9" t="n">
        <x:v>0.25090940771389864</x:v>
      </x:c>
      <x:c r="AF99" s="9" t="n">
        <x:v>0.125</x:v>
      </x:c>
      <x:c r="AG99" s="6" t="str">
        <x:v>esa-ew-id-duration-v1</x:v>
      </x:c>
      <x:c r="AH99" s="6" t="str">
        <x:v>Real prepared telemetry + real annotations</x:v>
      </x:c>
      <x:c r="AI99" s="6" t="str">
        <x:v>Existing forecast checkpoints. Calibration chooses hits/window. No retraining.</x:v>
      </x:c>
      <x:c r="AJ99" s="6" t="str">
        <x:v>S079</x:v>
      </x:c>
    </x:row>
    <x:row r="100" ht="43" customHeight="1">
      <x:c r="A100" s="6" t="str">
        <x:v>R099</x:v>
      </x:c>
      <x:c r="B100" s="6" t="str">
        <x:v>Alarm confirmation</x:v>
      </x:c>
      <x:c r="C100" s="6" t="str">
        <x:v>mlp / confirmed</x:v>
      </x:c>
      <x:c r="D100" s="6" t="str">
        <x:v>causal_alarm_2003_v1</x:v>
      </x:c>
      <x:c r="E100" s="6" t="n">
        <x:v>42</x:v>
      </x:c>
      <x:c r="F100" s="6" t="str">
        <x:v>40–47</x:v>
      </x:c>
      <x:c r="G100" s="6" t="str">
        <x:v>2003 Apr–Dec</x:v>
      </x:c>
      <x:c r="H100" s="6" t="str">
        <x:v>system_all_channels</x:v>
      </x:c>
      <x:c r="I100" s="9" t="n">
        <x:v>0.33332981025648767</x:v>
      </x:c>
      <x:c r="J100" s="9" t="n">
        <x:v>0.23254691994702262</x:v>
      </x:c>
      <x:c r="K100" s="9" t="n">
        <x:v>0.19998962752855332</x:v>
      </x:c>
      <x:c r="L100" s="9" t="n">
        <x:v>0.6666666666666666</x:v>
      </x:c>
      <x:c r="M100" s="6" t="n">
        <x:v>4</x:v>
      </x:c>
      <x:c r="N100" s="6" t="n">
        <x:v>16</x:v>
      </x:c>
      <x:c r="O100" s="6" t="n">
        <x:v>2</x:v>
      </x:c>
      <x:c r="P100" s="6" t="n">
        <x:v>6</x:v>
      </x:c>
      <x:c r="Q100" s="6" t="n">
        <x:v>34</x:v>
      </x:c>
      <x:c r="R100" s="6" t="n">
        <x:v>15</x:v>
      </x:c>
      <x:c r="S100" s="6" t="n">
        <x:v>40</x:v>
      </x:c>
      <x:c r="T100" s="6" t="n">
        <x:v>250000</x:v>
      </x:c>
      <x:c r="U100" s="8" t="n">
        <x:v>36526</x:v>
      </x:c>
      <x:c r="V100" s="8" t="n">
        <x:v>37622</x:v>
      </x:c>
      <x:c r="W100" s="8" t="n">
        <x:v>37622</x:v>
      </x:c>
      <x:c r="X100" s="8" t="n">
        <x:v>37712</x:v>
      </x:c>
      <x:c r="Y100" s="8" t="n">
        <x:v>37712</x:v>
      </x:c>
      <x:c r="Z100" s="8" t="n">
        <x:v>37987</x:v>
      </x:c>
      <x:c r="AA100" s="6" t="str">
        <x:v>[start,end)</x:v>
      </x:c>
      <x:c r="AB100" s="10" t="n">
        <x:v>1140</x:v>
      </x:c>
      <x:c r="AC100" s="10" t="n">
        <x:v>21981260.799</x:v>
      </x:c>
      <x:c r="AD100" s="9" t="n">
        <x:v>0.00005186235723353416</x:v>
      </x:c>
      <x:c r="AE100" s="9" t="n">
        <x:v>0.05818189164380258</x:v>
      </x:c>
      <x:c r="AF100" s="9" t="n">
        <x:v>0.2222222222222222</x:v>
      </x:c>
      <x:c r="AG100" s="6" t="str">
        <x:v>esa-ew-id-duration-v1</x:v>
      </x:c>
      <x:c r="AH100" s="6" t="str">
        <x:v>Real prepared telemetry + real annotations</x:v>
      </x:c>
      <x:c r="AI100" s="6" t="str">
        <x:v>Existing forecast checkpoints. Calibration chooses hits/window. No retraining.</x:v>
      </x:c>
      <x:c r="AJ100" s="6" t="str">
        <x:v>S079</x:v>
      </x:c>
    </x:row>
    <x:row r="101" ht="43" customHeight="1">
      <x:c r="A101" s="6" t="str">
        <x:v>R100</x:v>
      </x:c>
      <x:c r="B101" s="6" t="str">
        <x:v>Alarm confirmation</x:v>
      </x:c>
      <x:c r="C101" s="6" t="str">
        <x:v>transformer / baseline</x:v>
      </x:c>
      <x:c r="D101" s="6" t="str">
        <x:v>causal_alarm_2003_v1</x:v>
      </x:c>
      <x:c r="E101" s="6" t="n">
        <x:v>42</x:v>
      </x:c>
      <x:c r="F101" s="6" t="str">
        <x:v>40–47</x:v>
      </x:c>
      <x:c r="G101" s="6" t="str">
        <x:v>2003 Apr–Dec</x:v>
      </x:c>
      <x:c r="H101" s="6" t="str">
        <x:v>system_all_channels</x:v>
      </x:c>
      <x:c r="I101" s="9" t="n">
        <x:v>0.057466377021867514</x:v>
      </x:c>
      <x:c r="J101" s="9" t="n">
        <x:v>0.08669589964590999</x:v>
      </x:c>
      <x:c r="K101" s="9" t="n">
        <x:v>0.0705805281945907</x:v>
      </x:c>
      <x:c r="L101" s="9" t="n">
        <x:v>1</x:v>
      </x:c>
      <x:c r="M101" s="6" t="n">
        <x:v>6</x:v>
      </x:c>
      <x:c r="N101" s="6" t="n">
        <x:v>79</x:v>
      </x:c>
      <x:c r="O101" s="6" t="n">
        <x:v>0</x:v>
      </x:c>
      <x:c r="P101" s="6" t="n">
        <x:v>6</x:v>
      </x:c>
      <x:c r="Q101" s="6" t="n">
        <x:v>116</x:v>
      </x:c>
      <x:c r="R101" s="6" t="n">
        <x:v>10</x:v>
      </x:c>
      <x:c r="S101" s="6" t="n">
        <x:v>40</x:v>
      </x:c>
      <x:c r="T101" s="6" t="n">
        <x:v>250000</x:v>
      </x:c>
      <x:c r="U101" s="8" t="n">
        <x:v>36526</x:v>
      </x:c>
      <x:c r="V101" s="8" t="n">
        <x:v>37622</x:v>
      </x:c>
      <x:c r="W101" s="8" t="n">
        <x:v>37622</x:v>
      </x:c>
      <x:c r="X101" s="8" t="n">
        <x:v>37712</x:v>
      </x:c>
      <x:c r="Y101" s="8" t="n">
        <x:v>37712</x:v>
      </x:c>
      <x:c r="Z101" s="8" t="n">
        <x:v>37987</x:v>
      </x:c>
      <x:c r="AA101" s="6" t="str">
        <x:v>[start,end)</x:v>
      </x:c>
      <x:c r="AB101" s="10" t="n">
        <x:v>2400</x:v>
      </x:c>
      <x:c r="AC101" s="10" t="n">
        <x:v>21981260.799</x:v>
      </x:c>
      <x:c r="AD101" s="9" t="n">
        <x:v>0.00010918390996517147</x:v>
      </x:c>
      <x:c r="AE101" s="9" t="n">
        <x:v>0.2872730899912752</x:v>
      </x:c>
      <x:c r="AF101" s="9" t="n">
        <x:v>0.16216216216216217</x:v>
      </x:c>
      <x:c r="AG101" s="6" t="str">
        <x:v>esa-ew-id-duration-v1</x:v>
      </x:c>
      <x:c r="AH101" s="6" t="str">
        <x:v>Real prepared telemetry + real annotations</x:v>
      </x:c>
      <x:c r="AI101" s="6" t="str">
        <x:v>Existing forecast checkpoints. Calibration chooses hits/window. No retraining.</x:v>
      </x:c>
      <x:c r="AJ101" s="6" t="str">
        <x:v>S079</x:v>
      </x:c>
    </x:row>
    <x:row r="102" ht="43" customHeight="1">
      <x:c r="A102" s="6" t="str">
        <x:v>R101</x:v>
      </x:c>
      <x:c r="B102" s="6" t="str">
        <x:v>Alarm confirmation</x:v>
      </x:c>
      <x:c r="C102" s="6" t="str">
        <x:v>transformer / confirmed</x:v>
      </x:c>
      <x:c r="D102" s="6" t="str">
        <x:v>causal_alarm_2003_v1</x:v>
      </x:c>
      <x:c r="E102" s="6" t="n">
        <x:v>42</x:v>
      </x:c>
      <x:c r="F102" s="6" t="str">
        <x:v>40–47</x:v>
      </x:c>
      <x:c r="G102" s="6" t="str">
        <x:v>2003 Apr–Dec</x:v>
      </x:c>
      <x:c r="H102" s="6" t="str">
        <x:v>system_all_channels</x:v>
      </x:c>
      <x:c r="I102" s="9" t="n">
        <x:v>0.4545439987306743</x:v>
      </x:c>
      <x:c r="J102" s="9" t="n">
        <x:v>0.11903802518467316</x:v>
      </x:c>
      <x:c r="K102" s="9" t="n">
        <x:v>0.09999153824697771</x:v>
      </x:c>
      <x:c r="L102" s="9" t="n">
        <x:v>0.5</x:v>
      </x:c>
      <x:c r="M102" s="6" t="n">
        <x:v>3</x:v>
      </x:c>
      <x:c r="N102" s="6" t="n">
        <x:v>27</x:v>
      </x:c>
      <x:c r="O102" s="6" t="n">
        <x:v>3</x:v>
      </x:c>
      <x:c r="P102" s="6" t="n">
        <x:v>6</x:v>
      </x:c>
      <x:c r="Q102" s="6" t="n">
        <x:v>44</x:v>
      </x:c>
      <x:c r="R102" s="6" t="n">
        <x:v>10</x:v>
      </x:c>
      <x:c r="S102" s="6" t="n">
        <x:v>40</x:v>
      </x:c>
      <x:c r="T102" s="6" t="n">
        <x:v>250000</x:v>
      </x:c>
      <x:c r="U102" s="8" t="n">
        <x:v>36526</x:v>
      </x:c>
      <x:c r="V102" s="8" t="n">
        <x:v>37622</x:v>
      </x:c>
      <x:c r="W102" s="8" t="n">
        <x:v>37622</x:v>
      </x:c>
      <x:c r="X102" s="8" t="n">
        <x:v>37712</x:v>
      </x:c>
      <x:c r="Y102" s="8" t="n">
        <x:v>37712</x:v>
      </x:c>
      <x:c r="Z102" s="8" t="n">
        <x:v>37987</x:v>
      </x:c>
      <x:c r="AA102" s="6" t="str">
        <x:v>[start,end)</x:v>
      </x:c>
      <x:c r="AB102" s="10" t="n">
        <x:v>1860</x:v>
      </x:c>
      <x:c r="AC102" s="10" t="n">
        <x:v>21981260.799</x:v>
      </x:c>
      <x:c r="AD102" s="9" t="n">
        <x:v>0.00008461753022304119</x:v>
      </x:c>
      <x:c r="AE102" s="9" t="n">
        <x:v>0.09818194214891686</x:v>
      </x:c>
      <x:c r="AF102" s="9" t="n">
        <x:v>0.17647058823529413</x:v>
      </x:c>
      <x:c r="AG102" s="6" t="str">
        <x:v>esa-ew-id-duration-v1</x:v>
      </x:c>
      <x:c r="AH102" s="6" t="str">
        <x:v>Real prepared telemetry + real annotations</x:v>
      </x:c>
      <x:c r="AI102" s="6" t="str">
        <x:v>Existing forecast checkpoints. Calibration chooses hits/window. No retraining.</x:v>
      </x:c>
      <x:c r="AJ102" s="6" t="str">
        <x:v>S079</x:v>
      </x:c>
    </x:row>
    <x:row r="103" ht="43" customHeight="1">
      <x:c r="A103" s="6" t="str">
        <x:v>R102</x:v>
      </x:c>
      <x:c r="B103" s="6" t="str">
        <x:v>Full-period baseline</x:v>
      </x:c>
      <x:c r="C103" s="6" t="str">
        <x:v>Transformer AE baseline</x:v>
      </x:c>
      <x:c r="D103" s="6" t="str">
        <x:v>ch40_47_train2000_2005_seed42</x:v>
      </x:c>
      <x:c r="E103" s="6" t="n">
        <x:v>42</x:v>
      </x:c>
      <x:c r="F103" s="6" t="str">
        <x:v>40, 41, 42, 43, 44, 45, 46, 47</x:v>
      </x:c>
      <x:c r="G103" s="6" t="str">
        <x:v>2007–2013 pooled</x:v>
      </x:c>
      <x:c r="H103" s="6" t="str">
        <x:v>system_all_channels</x:v>
      </x:c>
      <x:c r="I103" s="9" t="n">
        <x:v>0.8821482657069778</x:v>
      </x:c>
      <x:c r="J103" s="9" t="n">
        <x:v>0.8057217336876309</x:v>
      </x:c>
      <x:c r="K103" s="9" t="n">
        <x:v>0.8848713352240037</x:v>
      </x:c>
      <x:c r="L103" s="9" t="n">
        <x:v>0.5934065934065934</x:v>
      </x:c>
      <x:c r="M103" s="6" t="n">
        <x:v>54</x:v>
      </x:c>
      <x:c r="N103" s="6" t="n">
        <x:v>7</x:v>
      </x:c>
      <x:c r="O103" s="6" t="n">
        <x:v>37</x:v>
      </x:c>
      <x:c r="P103" s="6" t="n">
        <x:v>91</x:v>
      </x:c>
      <x:c r="Q103" s="6" t="n">
        <x:v>78</x:v>
      </x:c>
      <x:c r="R103" s="6" t="n">
        <x:v>10</x:v>
      </x:c>
      <x:c r="S103" s="6" t="n">
        <x:v>40</x:v>
      </x:c>
      <x:c r="T103" s="6" t="n">
        <x:v>0</x:v>
      </x:c>
      <x:c r="U103" s="8" t="n">
        <x:v>36526</x:v>
      </x:c>
      <x:c r="V103" s="8" t="n">
        <x:v>38718</x:v>
      </x:c>
      <x:c r="W103" s="8" t="n">
        <x:v>38718</x:v>
      </x:c>
      <x:c r="X103" s="8" t="n">
        <x:v>39083</x:v>
      </x:c>
      <x:c r="Y103" s="8" t="n">
        <x:v>39083</x:v>
      </x:c>
      <x:c r="Z103" s="8" t="n">
        <x:v>41640</x:v>
      </x:c>
      <x:c r="AA103" s="6" t="str">
        <x:v>[start,end)</x:v>
      </x:c>
      <x:c r="AB103" s="10" t="n">
        <x:v>83106.405</x:v>
      </x:c>
      <x:c r="AC103" s="10" t="n">
        <x:v>196412709.237</x:v>
      </x:c>
      <x:c r="AD103" s="9" t="n">
        <x:v>0.00042312132103283773</x:v>
      </x:c>
      <x:c r="AE103" s="9" t="n">
        <x:v>0.0027375834769455686</x:v>
      </x:c>
      <x:c r="AF103" s="9" t="n">
        <x:v>0.7105263157894737</x:v>
      </x:c>
      <x:c r="AG103" s="6" t="str">
        <x:v>esa-ew-id-duration-v1</x:v>
      </x:c>
      <x:c r="AH103" s="6" t="str">
        <x:v>Real prepared telemetry + real annotations</x:v>
      </x:c>
      <x:c r="AI103" s="6" t="str">
        <x:v>40 epochs. Previously inspected benchmark. All nominal windows.</x:v>
      </x:c>
      <x:c r="AJ103" s="6" t="str">
        <x:v>S081</x:v>
      </x:c>
    </x:row>
    <x:row r="104" ht="43" customHeight="1">
      <x:c r="A104" s="6" t="str">
        <x:v>R103</x:v>
      </x:c>
      <x:c r="B104" s="6" t="str">
        <x:v>Full-period baseline</x:v>
      </x:c>
      <x:c r="C104" s="6" t="str">
        <x:v>Transformer AE baseline</x:v>
      </x:c>
      <x:c r="D104" s="6" t="str">
        <x:v>ch40_47_train2000_2005_seed42</x:v>
      </x:c>
      <x:c r="E104" s="6" t="n">
        <x:v>42</x:v>
      </x:c>
      <x:c r="F104" s="6" t="str">
        <x:v>40, 41, 42, 43, 44, 45, 46, 47</x:v>
      </x:c>
      <x:c r="G104" s="6" t="str">
        <x:v>2007</x:v>
      </x:c>
      <x:c r="H104" s="6" t="str">
        <x:v>system_all_channels</x:v>
      </x:c>
      <x:c r="I104" s="9" t="n">
        <x:v>0.8821482657069778</x:v>
      </x:c>
      <x:c r="J104" s="9" t="n">
        <x:v>0.8121982188064382</x:v>
      </x:c>
      <x:c r="K104" s="9" t="n">
        <x:v>0.812122808532445</x:v>
      </x:c>
      <x:c r="L104" s="9" t="n">
        <x:v>0.8125</x:v>
      </x:c>
      <x:c r="M104" s="6" t="n">
        <x:v>13</x:v>
      </x:c>
      <x:c r="N104" s="6" t="n">
        <x:v>3</x:v>
      </x:c>
      <x:c r="O104" s="6" t="n">
        <x:v>3</x:v>
      </x:c>
      <x:c r="P104" s="6" t="n">
        <x:v>16</x:v>
      </x:c>
      <x:c r="Q104" s="6" t="n">
        <x:v>22</x:v>
      </x:c>
      <x:c r="R104" s="6" t="n">
        <x:v>10</x:v>
      </x:c>
      <x:c r="S104" s="6" t="n">
        <x:v>40</x:v>
      </x:c>
      <x:c r="T104" s="6" t="n">
        <x:v>0</x:v>
      </x:c>
      <x:c r="U104" s="8" t="n">
        <x:v>36526</x:v>
      </x:c>
      <x:c r="V104" s="8" t="n">
        <x:v>38718</x:v>
      </x:c>
      <x:c r="W104" s="8" t="n">
        <x:v>38718</x:v>
      </x:c>
      <x:c r="X104" s="8" t="n">
        <x:v>39083</x:v>
      </x:c>
      <x:c r="Y104" s="8" t="n">
        <x:v>39083</x:v>
      </x:c>
      <x:c r="Z104" s="8" t="n">
        <x:v>39448</x:v>
      </x:c>
      <x:c r="AA104" s="6" t="str">
        <x:v>[start,end)</x:v>
      </x:c>
      <x:c r="AB104" s="10" t="n">
        <x:v>12856.248</x:v>
      </x:c>
      <x:c r="AC104" s="10" t="n">
        <x:v>27693366.363</x:v>
      </x:c>
      <x:c r="AD104" s="9" t="n">
        <x:v>0.000464235652375411</x:v>
      </x:c>
      <x:c r="AE104" s="9" t="n">
        <x:v>0.008219185901052037</x:v>
      </x:c>
      <x:c r="AF104" s="9" t="n">
        <x:v>0.5909090909090909</x:v>
      </x:c>
      <x:c r="AG104" s="6" t="str">
        <x:v>esa-ew-id-duration-v1</x:v>
      </x:c>
      <x:c r="AH104" s="6" t="str">
        <x:v>Real prepared telemetry + real annotations</x:v>
      </x:c>
      <x:c r="AI104" s="6" t="str">
        <x:v>Slice of one frozen continuous assessment. Annual event counts need not sum to pooled counts.</x:v>
      </x:c>
      <x:c r="AJ104" s="6" t="str">
        <x:v>S084</x:v>
      </x:c>
    </x:row>
    <x:row r="105" ht="43" customHeight="1">
      <x:c r="A105" s="6" t="str">
        <x:v>R104</x:v>
      </x:c>
      <x:c r="B105" s="6" t="str">
        <x:v>Full-period baseline</x:v>
      </x:c>
      <x:c r="C105" s="6" t="str">
        <x:v>Transformer AE baseline</x:v>
      </x:c>
      <x:c r="D105" s="6" t="str">
        <x:v>ch40_47_train2000_2005_seed42</x:v>
      </x:c>
      <x:c r="E105" s="6" t="n">
        <x:v>42</x:v>
      </x:c>
      <x:c r="F105" s="6" t="str">
        <x:v>40, 41, 42, 43, 44, 45, 46, 47</x:v>
      </x:c>
      <x:c r="G105" s="6" t="str">
        <x:v>2008</x:v>
      </x:c>
      <x:c r="H105" s="6" t="str">
        <x:v>system_all_channels</x:v>
      </x:c>
      <x:c r="I105" s="9" t="n">
        <x:v>0.8821482657069778</x:v>
      </x:c>
      <x:c r="J105" s="9" t="n">
        <x:v>0.7138769723031541</x:v>
      </x:c>
      <x:c r="K105" s="9" t="n">
        <x:v>0.7771721069469436</x:v>
      </x:c>
      <x:c r="L105" s="9" t="n">
        <x:v>0.5384615384615384</x:v>
      </x:c>
      <x:c r="M105" s="6" t="n">
        <x:v>7</x:v>
      </x:c>
      <x:c r="N105" s="6" t="n">
        <x:v>2</x:v>
      </x:c>
      <x:c r="O105" s="6" t="n">
        <x:v>6</x:v>
      </x:c>
      <x:c r="P105" s="6" t="n">
        <x:v>13</x:v>
      </x:c>
      <x:c r="Q105" s="6" t="n">
        <x:v>9</x:v>
      </x:c>
      <x:c r="R105" s="6" t="n">
        <x:v>10</x:v>
      </x:c>
      <x:c r="S105" s="6" t="n">
        <x:v>40</x:v>
      </x:c>
      <x:c r="T105" s="6" t="n">
        <x:v>0</x:v>
      </x:c>
      <x:c r="U105" s="8" t="n">
        <x:v>36526</x:v>
      </x:c>
      <x:c r="V105" s="8" t="n">
        <x:v>38718</x:v>
      </x:c>
      <x:c r="W105" s="8" t="n">
        <x:v>38718</x:v>
      </x:c>
      <x:c r="X105" s="8" t="n">
        <x:v>39083</x:v>
      </x:c>
      <x:c r="Y105" s="8" t="n">
        <x:v>39448</x:v>
      </x:c>
      <x:c r="Z105" s="8" t="n">
        <x:v>39814</x:v>
      </x:c>
      <x:c r="AA105" s="6" t="str">
        <x:v>[start,end)</x:v>
      </x:c>
      <x:c r="AB105" s="10" t="n">
        <x:v>23456.142</x:v>
      </x:c>
      <x:c r="AC105" s="10" t="n">
        <x:v>30121420.863</x:v>
      </x:c>
      <x:c r="AD105" s="9" t="n">
        <x:v>0.0007787196396439322</x:v>
      </x:c>
      <x:c r="AE105" s="9" t="n">
        <x:v>0.005464486058445335</x:v>
      </x:c>
      <x:c r="AF105" s="9" t="n">
        <x:v>1</x:v>
      </x:c>
      <x:c r="AG105" s="6" t="str">
        <x:v>esa-ew-id-duration-v1</x:v>
      </x:c>
      <x:c r="AH105" s="6" t="str">
        <x:v>Real prepared telemetry + real annotations</x:v>
      </x:c>
      <x:c r="AI105" s="6" t="str">
        <x:v>Slice of one frozen continuous assessment. Annual event counts need not sum to pooled counts.</x:v>
      </x:c>
      <x:c r="AJ105" s="6" t="str">
        <x:v>S084</x:v>
      </x:c>
    </x:row>
    <x:row r="106" ht="43" customHeight="1">
      <x:c r="A106" s="6" t="str">
        <x:v>R105</x:v>
      </x:c>
      <x:c r="B106" s="6" t="str">
        <x:v>Full-period baseline</x:v>
      </x:c>
      <x:c r="C106" s="6" t="str">
        <x:v>Transformer AE baseline</x:v>
      </x:c>
      <x:c r="D106" s="6" t="str">
        <x:v>ch40_47_train2000_2005_seed42</x:v>
      </x:c>
      <x:c r="E106" s="6" t="n">
        <x:v>42</x:v>
      </x:c>
      <x:c r="F106" s="6" t="str">
        <x:v>40, 41, 42, 43, 44, 45, 46, 47</x:v>
      </x:c>
      <x:c r="G106" s="6" t="str">
        <x:v>2009</x:v>
      </x:c>
      <x:c r="H106" s="6" t="str">
        <x:v>system_all_channels</x:v>
      </x:c>
      <x:c r="I106" s="9" t="n">
        <x:v>0.8821482657069778</x:v>
      </x:c>
      <x:c r="J106" s="9" t="n">
        <x:v>0.9087205042326162</x:v>
      </x:c>
      <x:c r="K106" s="9" t="n">
        <x:v>0.999439848238542</x:v>
      </x:c>
      <x:c r="L106" s="9" t="n">
        <x:v>0.6666666666666666</x:v>
      </x:c>
      <x:c r="M106" s="6" t="n">
        <x:v>8</x:v>
      </x:c>
      <x:c r="N106" s="6" t="n">
        <x:v>0</x:v>
      </x:c>
      <x:c r="O106" s="6" t="n">
        <x:v>4</x:v>
      </x:c>
      <x:c r="P106" s="6" t="n">
        <x:v>12</x:v>
      </x:c>
      <x:c r="Q106" s="6" t="n">
        <x:v>9</x:v>
      </x:c>
      <x:c r="R106" s="6" t="n">
        <x:v>10</x:v>
      </x:c>
      <x:c r="S106" s="6" t="n">
        <x:v>40</x:v>
      </x:c>
      <x:c r="T106" s="6" t="n">
        <x:v>0</x:v>
      </x:c>
      <x:c r="U106" s="8" t="n">
        <x:v>36526</x:v>
      </x:c>
      <x:c r="V106" s="8" t="n">
        <x:v>38718</x:v>
      </x:c>
      <x:c r="W106" s="8" t="n">
        <x:v>38718</x:v>
      </x:c>
      <x:c r="X106" s="8" t="n">
        <x:v>39083</x:v>
      </x:c>
      <x:c r="Y106" s="8" t="n">
        <x:v>39814</x:v>
      </x:c>
      <x:c r="Z106" s="8" t="n">
        <x:v>40179</x:v>
      </x:c>
      <x:c r="AA106" s="6" t="str">
        <x:v>[start,end)</x:v>
      </x:c>
      <x:c r="AB106" s="10" t="n">
        <x:v>14164.053</x:v>
      </x:c>
      <x:c r="AC106" s="10" t="n">
        <x:v>25286099.187</x:v>
      </x:c>
      <x:c r="AD106" s="9" t="n">
        <x:v>0.000560151761457961</x:v>
      </x:c>
      <x:c r="AE106" s="9" t="n">
        <x:v>0</x:v>
      </x:c>
      <x:c r="AF106" s="9" t="n">
        <x:v>0.8</x:v>
      </x:c>
      <x:c r="AG106" s="6" t="str">
        <x:v>esa-ew-id-duration-v1</x:v>
      </x:c>
      <x:c r="AH106" s="6" t="str">
        <x:v>Real prepared telemetry + real annotations</x:v>
      </x:c>
      <x:c r="AI106" s="6" t="str">
        <x:v>Slice of one frozen continuous assessment. Annual event counts need not sum to pooled counts.</x:v>
      </x:c>
      <x:c r="AJ106" s="6" t="str">
        <x:v>S084</x:v>
      </x:c>
    </x:row>
    <x:row r="107" ht="43" customHeight="1">
      <x:c r="A107" s="6" t="str">
        <x:v>R106</x:v>
      </x:c>
      <x:c r="B107" s="6" t="str">
        <x:v>Full-period baseline</x:v>
      </x:c>
      <x:c r="C107" s="6" t="str">
        <x:v>Transformer AE baseline</x:v>
      </x:c>
      <x:c r="D107" s="6" t="str">
        <x:v>ch40_47_train2000_2005_seed42</x:v>
      </x:c>
      <x:c r="E107" s="6" t="n">
        <x:v>42</x:v>
      </x:c>
      <x:c r="F107" s="6" t="str">
        <x:v>40, 41, 42, 43, 44, 45, 46, 47</x:v>
      </x:c>
      <x:c r="G107" s="6" t="str">
        <x:v>2010</x:v>
      </x:c>
      <x:c r="H107" s="6" t="str">
        <x:v>system_all_channels</x:v>
      </x:c>
      <x:c r="I107" s="9" t="n">
        <x:v>0.8821482657069778</x:v>
      </x:c>
      <x:c r="J107" s="9" t="n">
        <x:v>0.7811205994191147</x:v>
      </x:c>
      <x:c r="K107" s="9" t="n">
        <x:v>0.9997350139445674</x:v>
      </x:c>
      <x:c r="L107" s="9" t="n">
        <x:v>0.4166666666666667</x:v>
      </x:c>
      <x:c r="M107" s="6" t="n">
        <x:v>5</x:v>
      </x:c>
      <x:c r="N107" s="6" t="n">
        <x:v>0</x:v>
      </x:c>
      <x:c r="O107" s="6" t="n">
        <x:v>7</x:v>
      </x:c>
      <x:c r="P107" s="6" t="n">
        <x:v>12</x:v>
      </x:c>
      <x:c r="Q107" s="6" t="n">
        <x:v>5</x:v>
      </x:c>
      <x:c r="R107" s="6" t="n">
        <x:v>10</x:v>
      </x:c>
      <x:c r="S107" s="6" t="n">
        <x:v>40</x:v>
      </x:c>
      <x:c r="T107" s="6" t="n">
        <x:v>0</x:v>
      </x:c>
      <x:c r="U107" s="8" t="n">
        <x:v>36526</x:v>
      </x:c>
      <x:c r="V107" s="8" t="n">
        <x:v>38718</x:v>
      </x:c>
      <x:c r="W107" s="8" t="n">
        <x:v>38718</x:v>
      </x:c>
      <x:c r="X107" s="8" t="n">
        <x:v>39083</x:v>
      </x:c>
      <x:c r="Y107" s="8" t="n">
        <x:v>40179</x:v>
      </x:c>
      <x:c r="Z107" s="8" t="n">
        <x:v>40544</x:v>
      </x:c>
      <x:c r="AA107" s="6" t="str">
        <x:v>[start,end)</x:v>
      </x:c>
      <x:c r="AB107" s="10" t="n">
        <x:v>7614.864</x:v>
      </x:c>
      <x:c r="AC107" s="10" t="n">
        <x:v>28736848.011</x:v>
      </x:c>
      <x:c r="AD107" s="9" t="n">
        <x:v>0.00026498605543257003</x:v>
      </x:c>
      <x:c r="AE107" s="9" t="n">
        <x:v>0</x:v>
      </x:c>
      <x:c r="AF107" s="9" t="n">
        <x:v>1</x:v>
      </x:c>
      <x:c r="AG107" s="6" t="str">
        <x:v>esa-ew-id-duration-v1</x:v>
      </x:c>
      <x:c r="AH107" s="6" t="str">
        <x:v>Real prepared telemetry + real annotations</x:v>
      </x:c>
      <x:c r="AI107" s="6" t="str">
        <x:v>Slice of one frozen continuous assessment. Annual event counts need not sum to pooled counts.</x:v>
      </x:c>
      <x:c r="AJ107" s="6" t="str">
        <x:v>S084</x:v>
      </x:c>
    </x:row>
    <x:row r="108" ht="43" customHeight="1">
      <x:c r="A108" s="6" t="str">
        <x:v>R107</x:v>
      </x:c>
      <x:c r="B108" s="6" t="str">
        <x:v>Full-period baseline</x:v>
      </x:c>
      <x:c r="C108" s="6" t="str">
        <x:v>Transformer AE baseline</x:v>
      </x:c>
      <x:c r="D108" s="6" t="str">
        <x:v>ch40_47_train2000_2005_seed42</x:v>
      </x:c>
      <x:c r="E108" s="6" t="n">
        <x:v>42</x:v>
      </x:c>
      <x:c r="F108" s="6" t="str">
        <x:v>40, 41, 42, 43, 44, 45, 46, 47</x:v>
      </x:c>
      <x:c r="G108" s="6" t="str">
        <x:v>2011</x:v>
      </x:c>
      <x:c r="H108" s="6" t="str">
        <x:v>system_all_channels</x:v>
      </x:c>
      <x:c r="I108" s="9" t="n">
        <x:v>0.8821482657069778</x:v>
      </x:c>
      <x:c r="J108" s="9" t="n">
        <x:v>0.8137538357009343</x:v>
      </x:c>
      <x:c r="K108" s="9" t="n">
        <x:v>0.9996233578709021</x:v>
      </x:c>
      <x:c r="L108" s="9" t="n">
        <x:v>0.4666666666666667</x:v>
      </x:c>
      <x:c r="M108" s="6" t="n">
        <x:v>7</x:v>
      </x:c>
      <x:c r="N108" s="6" t="n">
        <x:v>0</x:v>
      </x:c>
      <x:c r="O108" s="6" t="n">
        <x:v>8</x:v>
      </x:c>
      <x:c r="P108" s="6" t="n">
        <x:v>15</x:v>
      </x:c>
      <x:c r="Q108" s="6" t="n">
        <x:v>8</x:v>
      </x:c>
      <x:c r="R108" s="6" t="n">
        <x:v>10</x:v>
      </x:c>
      <x:c r="S108" s="6" t="n">
        <x:v>40</x:v>
      </x:c>
      <x:c r="T108" s="6" t="n">
        <x:v>0</x:v>
      </x:c>
      <x:c r="U108" s="8" t="n">
        <x:v>36526</x:v>
      </x:c>
      <x:c r="V108" s="8" t="n">
        <x:v>38718</x:v>
      </x:c>
      <x:c r="W108" s="8" t="n">
        <x:v>38718</x:v>
      </x:c>
      <x:c r="X108" s="8" t="n">
        <x:v>39083</x:v>
      </x:c>
      <x:c r="Y108" s="8" t="n">
        <x:v>40544</x:v>
      </x:c>
      <x:c r="Z108" s="8" t="n">
        <x:v>40909</x:v>
      </x:c>
      <x:c r="AA108" s="6" t="str">
        <x:v>[start,end)</x:v>
      </x:c>
      <x:c r="AB108" s="10" t="n">
        <x:v>10494.636</x:v>
      </x:c>
      <x:c r="AC108" s="10" t="n">
        <x:v>27863680.638</x:v>
      </x:c>
      <x:c r="AD108" s="9" t="n">
        <x:v>0.00037664212909793715</x:v>
      </x:c>
      <x:c r="AE108" s="9" t="n">
        <x:v>0</x:v>
      </x:c>
      <x:c r="AF108" s="9" t="n">
        <x:v>0.875</x:v>
      </x:c>
      <x:c r="AG108" s="6" t="str">
        <x:v>esa-ew-id-duration-v1</x:v>
      </x:c>
      <x:c r="AH108" s="6" t="str">
        <x:v>Real prepared telemetry + real annotations</x:v>
      </x:c>
      <x:c r="AI108" s="6" t="str">
        <x:v>Slice of one frozen continuous assessment. Annual event counts need not sum to pooled counts.</x:v>
      </x:c>
      <x:c r="AJ108" s="6" t="str">
        <x:v>S084</x:v>
      </x:c>
    </x:row>
    <x:row r="109" ht="43" customHeight="1">
      <x:c r="A109" s="6" t="str">
        <x:v>R108</x:v>
      </x:c>
      <x:c r="B109" s="6" t="str">
        <x:v>Full-period baseline</x:v>
      </x:c>
      <x:c r="C109" s="6" t="str">
        <x:v>Transformer AE baseline</x:v>
      </x:c>
      <x:c r="D109" s="6" t="str">
        <x:v>ch40_47_train2000_2005_seed42</x:v>
      </x:c>
      <x:c r="E109" s="6" t="n">
        <x:v>42</x:v>
      </x:c>
      <x:c r="F109" s="6" t="str">
        <x:v>40, 41, 42, 43, 44, 45, 46, 47</x:v>
      </x:c>
      <x:c r="G109" s="6" t="str">
        <x:v>2012</x:v>
      </x:c>
      <x:c r="H109" s="6" t="str">
        <x:v>system_all_channels</x:v>
      </x:c>
      <x:c r="I109" s="9" t="n">
        <x:v>0.8821482657069778</x:v>
      </x:c>
      <x:c r="J109" s="9" t="n">
        <x:v>0.6577284209119703</x:v>
      </x:c>
      <x:c r="K109" s="9" t="n">
        <x:v>0.7140406749775321</x:v>
      </x:c>
      <x:c r="L109" s="9" t="n">
        <x:v>0.5</x:v>
      </x:c>
      <x:c r="M109" s="6" t="n">
        <x:v>5</x:v>
      </x:c>
      <x:c r="N109" s="6" t="n">
        <x:v>2</x:v>
      </x:c>
      <x:c r="O109" s="6" t="n">
        <x:v>5</x:v>
      </x:c>
      <x:c r="P109" s="6" t="n">
        <x:v>10</x:v>
      </x:c>
      <x:c r="Q109" s="6" t="n">
        <x:v>6</x:v>
      </x:c>
      <x:c r="R109" s="6" t="n">
        <x:v>10</x:v>
      </x:c>
      <x:c r="S109" s="6" t="n">
        <x:v>40</x:v>
      </x:c>
      <x:c r="T109" s="6" t="n">
        <x:v>0</x:v>
      </x:c>
      <x:c r="U109" s="8" t="n">
        <x:v>36526</x:v>
      </x:c>
      <x:c r="V109" s="8" t="n">
        <x:v>38718</x:v>
      </x:c>
      <x:c r="W109" s="8" t="n">
        <x:v>38718</x:v>
      </x:c>
      <x:c r="X109" s="8" t="n">
        <x:v>39083</x:v>
      </x:c>
      <x:c r="Y109" s="8" t="n">
        <x:v>40909</x:v>
      </x:c>
      <x:c r="Z109" s="8" t="n">
        <x:v>41275</x:v>
      </x:c>
      <x:c r="AA109" s="6" t="str">
        <x:v>[start,end)</x:v>
      </x:c>
      <x:c r="AB109" s="10" t="n">
        <x:v>10166.838</x:v>
      </x:c>
      <x:c r="AC109" s="10" t="n">
        <x:v>29636172.24</x:v>
      </x:c>
      <x:c r="AD109" s="9" t="n">
        <x:v>0.0003430550314550418</x:v>
      </x:c>
      <x:c r="AE109" s="9" t="n">
        <x:v>0.005464486058445335</x:v>
      </x:c>
      <x:c r="AF109" s="9" t="n">
        <x:v>1</x:v>
      </x:c>
      <x:c r="AG109" s="6" t="str">
        <x:v>esa-ew-id-duration-v1</x:v>
      </x:c>
      <x:c r="AH109" s="6" t="str">
        <x:v>Real prepared telemetry + real annotations</x:v>
      </x:c>
      <x:c r="AI109" s="6" t="str">
        <x:v>Slice of one frozen continuous assessment. Annual event counts need not sum to pooled counts.</x:v>
      </x:c>
      <x:c r="AJ109" s="6" t="str">
        <x:v>S084</x:v>
      </x:c>
    </x:row>
    <x:row r="110" ht="43" customHeight="1">
      <x:c r="A110" s="6" t="str">
        <x:v>R109</x:v>
      </x:c>
      <x:c r="B110" s="6" t="str">
        <x:v>Full-period baseline</x:v>
      </x:c>
      <x:c r="C110" s="6" t="str">
        <x:v>Transformer AE baseline</x:v>
      </x:c>
      <x:c r="D110" s="6" t="str">
        <x:v>ch40_47_train2000_2005_seed42</x:v>
      </x:c>
      <x:c r="E110" s="6" t="n">
        <x:v>42</x:v>
      </x:c>
      <x:c r="F110" s="6" t="str">
        <x:v>40, 41, 42, 43, 44, 45, 46, 47</x:v>
      </x:c>
      <x:c r="G110" s="6" t="str">
        <x:v>2013</x:v>
      </x:c>
      <x:c r="H110" s="6" t="str">
        <x:v>system_all_channels</x:v>
      </x:c>
      <x:c r="I110" s="9" t="n">
        <x:v>0.8821482657069778</x:v>
      </x:c>
      <x:c r="J110" s="9" t="n">
        <x:v>0.8998957976620268</x:v>
      </x:c>
      <x:c r="K110" s="9" t="n">
        <x:v>0.9998392011629614</x:v>
      </x:c>
      <x:c r="L110" s="9" t="n">
        <x:v>0.6428571428571429</x:v>
      </x:c>
      <x:c r="M110" s="6" t="n">
        <x:v>9</x:v>
      </x:c>
      <x:c r="N110" s="6" t="n">
        <x:v>0</x:v>
      </x:c>
      <x:c r="O110" s="6" t="n">
        <x:v>5</x:v>
      </x:c>
      <x:c r="P110" s="6" t="n">
        <x:v>14</x:v>
      </x:c>
      <x:c r="Q110" s="6" t="n">
        <x:v>19</x:v>
      </x:c>
      <x:c r="R110" s="6" t="n">
        <x:v>10</x:v>
      </x:c>
      <x:c r="S110" s="6" t="n">
        <x:v>40</x:v>
      </x:c>
      <x:c r="T110" s="6" t="n">
        <x:v>0</x:v>
      </x:c>
      <x:c r="U110" s="8" t="n">
        <x:v>36526</x:v>
      </x:c>
      <x:c r="V110" s="8" t="n">
        <x:v>38718</x:v>
      </x:c>
      <x:c r="W110" s="8" t="n">
        <x:v>38718</x:v>
      </x:c>
      <x:c r="X110" s="8" t="n">
        <x:v>39083</x:v>
      </x:c>
      <x:c r="Y110" s="8" t="n">
        <x:v>41275</x:v>
      </x:c>
      <x:c r="Z110" s="8" t="n">
        <x:v>41640</x:v>
      </x:c>
      <x:c r="AA110" s="6" t="str">
        <x:v>[start,end)</x:v>
      </x:c>
      <x:c r="AB110" s="10" t="n">
        <x:v>4353.624</x:v>
      </x:c>
      <x:c r="AC110" s="10" t="n">
        <x:v>27074971.935</x:v>
      </x:c>
      <x:c r="AD110" s="9" t="n">
        <x:v>0.00016079883703856712</x:v>
      </x:c>
      <x:c r="AE110" s="9" t="n">
        <x:v>0</x:v>
      </x:c>
      <x:c r="AF110" s="9" t="n">
        <x:v>0.47368421052631576</x:v>
      </x:c>
      <x:c r="AG110" s="6" t="str">
        <x:v>esa-ew-id-duration-v1</x:v>
      </x:c>
      <x:c r="AH110" s="6" t="str">
        <x:v>Real prepared telemetry + real annotations</x:v>
      </x:c>
      <x:c r="AI110" s="6" t="str">
        <x:v>Slice of one frozen continuous assessment. Annual event counts need not sum to pooled counts.</x:v>
      </x:c>
      <x:c r="AJ110" s="6" t="str">
        <x:v>S084</x:v>
      </x:c>
    </x:row>
    <x:row r="111" ht="43" customHeight="1">
      <x:c r="A111" s="6" t="str">
        <x:v>R110</x:v>
      </x:c>
      <x:c r="B111" s="6" t="str">
        <x:v>Full-period baseline</x:v>
      </x:c>
      <x:c r="C111" s="6" t="str">
        <x:v>Transformer AE baseline</x:v>
      </x:c>
      <x:c r="D111" s="6" t="str">
        <x:v>ch40_47_dual_scope_v1</x:v>
      </x:c>
      <x:c r="E111" s="6" t="n">
        <x:v>42</x:v>
      </x:c>
      <x:c r="F111" s="6" t="str">
        <x:v>40, 41, 42, 43, 44, 45, 46, 47</x:v>
      </x:c>
      <x:c r="G111" s="6" t="str">
        <x:v>2007–2013 pooled</x:v>
      </x:c>
      <x:c r="H111" s="6" t="str">
        <x:v>input_channels_40_47</x:v>
      </x:c>
      <x:c r="I111" s="9" t="n">
        <x:v>0.8821482657069778</x:v>
      </x:c>
      <x:c r="J111" s="9" t="n">
        <x:v>0.862906630296026</x:v>
      </x:c>
      <x:c r="K111" s="9" t="n">
        <x:v>0.882959576166421</x:v>
      </x:c>
      <x:c r="L111" s="9" t="n">
        <x:v>0.7910447761194029</x:v>
      </x:c>
      <x:c r="M111" s="6" t="n">
        <x:v>53</x:v>
      </x:c>
      <x:c r="N111" s="6" t="n">
        <x:v>7</x:v>
      </x:c>
      <x:c r="O111" s="6" t="n">
        <x:v>14</x:v>
      </x:c>
      <x:c r="P111" s="6" t="n">
        <x:v>67</x:v>
      </x:c>
      <x:c r="Q111" s="6" t="n">
        <x:v>78</x:v>
      </x:c>
      <x:c r="R111" s="6" t="n">
        <x:v>10</x:v>
      </x:c>
      <x:c r="S111" s="6" t="n">
        <x:v>40</x:v>
      </x:c>
      <x:c r="T111" s="6" t="n">
        <x:v>0</x:v>
      </x:c>
      <x:c r="U111" s="8" t="n">
        <x:v>36526</x:v>
      </x:c>
      <x:c r="V111" s="8" t="n">
        <x:v>38718</x:v>
      </x:c>
      <x:c r="W111" s="8" t="n">
        <x:v>38718</x:v>
      </x:c>
      <x:c r="X111" s="8" t="n">
        <x:v>39083</x:v>
      </x:c>
      <x:c r="Y111" s="8" t="n">
        <x:v>39083</x:v>
      </x:c>
      <x:c r="Z111" s="8" t="n">
        <x:v>41640</x:v>
      </x:c>
      <x:c r="AA111" s="6" t="str">
        <x:v>[start,end)</x:v>
      </x:c>
      <x:c r="AB111" s="10" t="n">
        <x:v>83106.405</x:v>
      </x:c>
      <x:c r="AC111" s="10" t="n">
        <x:v>196412709.237</x:v>
      </x:c>
      <x:c r="AD111" s="9" t="n">
        <x:v>0.00042312132103283773</x:v>
      </x:c>
      <x:c r="AE111" s="9" t="n">
        <x:v>0.0027375834769455686</x:v>
      </x:c>
      <x:c r="AF111" s="9" t="n">
        <x:v>0.7361111111111112</x:v>
      </x:c>
      <x:c r="AG111" s="6" t="str">
        <x:v>esa-ew-id-duration-v1</x:v>
      </x:c>
      <x:c r="AH111" s="6" t="str">
        <x:v>Real prepared telemetry + real annotations</x:v>
      </x:c>
      <x:c r="AI111" s="6" t="str">
        <x:v>Same predictions as system score. Input-channel annotation scope only.</x:v>
      </x:c>
      <x:c r="AJ111" s="6" t="str">
        <x:v>S085</x:v>
      </x:c>
    </x:row>
    <x:row r="112" ht="43" customHeight="1">
      <x:c r="A112" s="6" t="str">
        <x:v>R111</x:v>
      </x:c>
      <x:c r="B112" s="6" t="str">
        <x:v>Timing comparison</x:v>
      </x:c>
      <x:c r="C112" s="6" t="str">
        <x:v>Zero-context control</x:v>
      </x:c>
      <x:c r="D112" s="6" t="str">
        <x:v>full_period_seed42_v1</x:v>
      </x:c>
      <x:c r="E112" s="6" t="n">
        <x:v>42</x:v>
      </x:c>
      <x:c r="F112" s="6" t="str">
        <x:v>40, 41, 42, 43, 44, 45, 46, 47</x:v>
      </x:c>
      <x:c r="G112" s="6" t="str">
        <x:v>2007–2013 pooled</x:v>
      </x:c>
      <x:c r="H112" s="6" t="str">
        <x:v>system_all_channels</x:v>
      </x:c>
      <x:c r="I112" s="9" t="n">
        <x:v>0.8332640734803873</x:v>
      </x:c>
      <x:c r="J112" s="9" t="n">
        <x:v>0.6895978913804215</x:v>
      </x:c>
      <x:c r="K112" s="9" t="n">
        <x:v>0.9998494684426743</x:v>
      </x:c>
      <x:c r="L112" s="9" t="n">
        <x:v>0.3076923076923077</x:v>
      </x:c>
      <x:c r="M112" s="6" t="n">
        <x:v>28</x:v>
      </x:c>
      <x:c r="N112" s="6" t="n">
        <x:v>0</x:v>
      </x:c>
      <x:c r="O112" s="6" t="n">
        <x:v>63</x:v>
      </x:c>
      <x:c r="P112" s="6" t="n">
        <x:v>91</x:v>
      </x:c>
      <x:c r="Q112" s="6" t="n">
        <x:v>41</x:v>
      </x:c>
      <x:c r="R112" s="6" t="n">
        <x:v>1</x:v>
      </x:c>
      <x:c r="S112" s="6" t="n">
        <x:v>5</x:v>
      </x:c>
      <x:c r="T112" s="6" t="n">
        <x:v>0</x:v>
      </x:c>
      <x:c r="U112" s="8" t="n">
        <x:v>36526</x:v>
      </x:c>
      <x:c r="V112" s="8" t="n">
        <x:v>38718</x:v>
      </x:c>
      <x:c r="W112" s="8" t="n">
        <x:v>38718</x:v>
      </x:c>
      <x:c r="X112" s="8" t="n">
        <x:v>39083</x:v>
      </x:c>
      <x:c r="Y112" s="8" t="n">
        <x:v>39083</x:v>
      </x:c>
      <x:c r="Z112" s="8" t="n">
        <x:v>41640</x:v>
      </x:c>
      <x:c r="AA112" s="6" t="str">
        <x:v>[start,end)</x:v>
      </x:c>
      <x:c r="AB112" s="10" t="n">
        <x:v>29566.311</x:v>
      </x:c>
      <x:c r="AC112" s="10" t="n">
        <x:v>196412709.237</x:v>
      </x:c>
      <x:c r="AD112" s="9" t="n">
        <x:v>0.0001505315573256949</x:v>
      </x:c>
      <x:c r="AE112" s="9" t="n">
        <x:v>0</x:v>
      </x:c>
      <x:c r="AF112" s="9" t="n">
        <x:v>0.6363636363636364</x:v>
      </x:c>
      <x:c r="AG112" s="6" t="str">
        <x:v>esa-ew-id-duration-v1</x:v>
      </x:c>
      <x:c r="AH112" s="6" t="str">
        <x:v>Real prepared telemetry + real annotations</x:v>
      </x:c>
      <x:c r="AI112" s="6" t="str">
        <x:v>5-epoch matched pair. Real native observation age/availability. Not the 40-epoch baseline.</x:v>
      </x:c>
      <x:c r="AJ112" s="6" t="str">
        <x:v>S086</x:v>
      </x:c>
    </x:row>
    <x:row r="113" ht="43" customHeight="1">
      <x:c r="A113" s="6" t="str">
        <x:v>R112</x:v>
      </x:c>
      <x:c r="B113" s="6" t="str">
        <x:v>Timing comparison</x:v>
      </x:c>
      <x:c r="C113" s="6" t="str">
        <x:v>Zero-context control</x:v>
      </x:c>
      <x:c r="D113" s="6" t="str">
        <x:v>full_period_seed42_v1</x:v>
      </x:c>
      <x:c r="E113" s="6" t="n">
        <x:v>42</x:v>
      </x:c>
      <x:c r="F113" s="6" t="str">
        <x:v>40, 41, 42, 43, 44, 45, 46, 47</x:v>
      </x:c>
      <x:c r="G113" s="6" t="str">
        <x:v>2007–2013 pooled</x:v>
      </x:c>
      <x:c r="H113" s="6" t="str">
        <x:v>input_channels_40_47</x:v>
      </x:c>
      <x:c r="I113" s="9" t="n">
        <x:v>0.8332640734803873</x:v>
      </x:c>
      <x:c r="J113" s="9" t="n">
        <x:v>0.7820492347986152</x:v>
      </x:c>
      <x:c r="K113" s="9" t="n">
        <x:v>0.9998494684426743</x:v>
      </x:c>
      <x:c r="L113" s="9" t="n">
        <x:v>0.417910447761194</x:v>
      </x:c>
      <x:c r="M113" s="6" t="n">
        <x:v>28</x:v>
      </x:c>
      <x:c r="N113" s="6" t="n">
        <x:v>0</x:v>
      </x:c>
      <x:c r="O113" s="6" t="n">
        <x:v>39</x:v>
      </x:c>
      <x:c r="P113" s="6" t="n">
        <x:v>67</x:v>
      </x:c>
      <x:c r="Q113" s="6" t="n">
        <x:v>41</x:v>
      </x:c>
      <x:c r="R113" s="6" t="n">
        <x:v>1</x:v>
      </x:c>
      <x:c r="S113" s="6" t="n">
        <x:v>5</x:v>
      </x:c>
      <x:c r="T113" s="6" t="n">
        <x:v>0</x:v>
      </x:c>
      <x:c r="U113" s="8" t="n">
        <x:v>36526</x:v>
      </x:c>
      <x:c r="V113" s="8" t="n">
        <x:v>38718</x:v>
      </x:c>
      <x:c r="W113" s="8" t="n">
        <x:v>38718</x:v>
      </x:c>
      <x:c r="X113" s="8" t="n">
        <x:v>39083</x:v>
      </x:c>
      <x:c r="Y113" s="8" t="n">
        <x:v>39083</x:v>
      </x:c>
      <x:c r="Z113" s="8" t="n">
        <x:v>41640</x:v>
      </x:c>
      <x:c r="AA113" s="6" t="str">
        <x:v>[start,end)</x:v>
      </x:c>
      <x:c r="AB113" s="10" t="n">
        <x:v>29566.311</x:v>
      </x:c>
      <x:c r="AC113" s="10" t="n">
        <x:v>196412709.237</x:v>
      </x:c>
      <x:c r="AD113" s="9" t="n">
        <x:v>0.0001505315573256949</x:v>
      </x:c>
      <x:c r="AE113" s="9" t="n">
        <x:v>0</x:v>
      </x:c>
      <x:c r="AF113" s="9" t="n">
        <x:v>0.6363636363636364</x:v>
      </x:c>
      <x:c r="AG113" s="6" t="str">
        <x:v>esa-ew-id-duration-v1</x:v>
      </x:c>
      <x:c r="AH113" s="6" t="str">
        <x:v>Real prepared telemetry + real annotations</x:v>
      </x:c>
      <x:c r="AI113" s="6" t="str">
        <x:v>5-epoch matched pair. Real native observation age/availability. Not the 40-epoch baseline.</x:v>
      </x:c>
      <x:c r="AJ113" s="6" t="str">
        <x:v>S086</x:v>
      </x:c>
    </x:row>
    <x:row r="114" ht="43" customHeight="1">
      <x:c r="A114" s="6" t="str">
        <x:v>R113</x:v>
      </x:c>
      <x:c r="B114" s="6" t="str">
        <x:v>Timing comparison</x:v>
      </x:c>
      <x:c r="C114" s="6" t="str">
        <x:v>Observation-age context</x:v>
      </x:c>
      <x:c r="D114" s="6" t="str">
        <x:v>full_period_seed42_v1</x:v>
      </x:c>
      <x:c r="E114" s="6" t="n">
        <x:v>42</x:v>
      </x:c>
      <x:c r="F114" s="6" t="str">
        <x:v>40, 41, 42, 43, 44, 45, 46, 47</x:v>
      </x:c>
      <x:c r="G114" s="6" t="str">
        <x:v>2007–2013 pooled</x:v>
      </x:c>
      <x:c r="H114" s="6" t="str">
        <x:v>system_all_channels</x:v>
      </x:c>
      <x:c r="I114" s="9" t="n">
        <x:v>0.8332291279161068</x:v>
      </x:c>
      <x:c r="J114" s="9" t="n">
        <x:v>0.5956546320162247</x:v>
      </x:c>
      <x:c r="K114" s="9" t="n">
        <x:v>0.7775859385829194</x:v>
      </x:c>
      <x:c r="L114" s="9" t="n">
        <x:v>0.3076923076923077</x:v>
      </x:c>
      <x:c r="M114" s="6" t="n">
        <x:v>28</x:v>
      </x:c>
      <x:c r="N114" s="6" t="n">
        <x:v>8</x:v>
      </x:c>
      <x:c r="O114" s="6" t="n">
        <x:v>63</x:v>
      </x:c>
      <x:c r="P114" s="6" t="n">
        <x:v>91</x:v>
      </x:c>
      <x:c r="Q114" s="6" t="n">
        <x:v>49</x:v>
      </x:c>
      <x:c r="R114" s="6" t="n">
        <x:v>5</x:v>
      </x:c>
      <x:c r="S114" s="6" t="n">
        <x:v>5</x:v>
      </x:c>
      <x:c r="T114" s="6" t="n">
        <x:v>0</x:v>
      </x:c>
      <x:c r="U114" s="8" t="n">
        <x:v>36526</x:v>
      </x:c>
      <x:c r="V114" s="8" t="n">
        <x:v>38718</x:v>
      </x:c>
      <x:c r="W114" s="8" t="n">
        <x:v>38718</x:v>
      </x:c>
      <x:c r="X114" s="8" t="n">
        <x:v>39083</x:v>
      </x:c>
      <x:c r="Y114" s="8" t="n">
        <x:v>39083</x:v>
      </x:c>
      <x:c r="Z114" s="8" t="n">
        <x:v>41640</x:v>
      </x:c>
      <x:c r="AA114" s="6" t="str">
        <x:v>[start,end)</x:v>
      </x:c>
      <x:c r="AB114" s="10" t="n">
        <x:v>48445.272</x:v>
      </x:c>
      <x:c r="AC114" s="10" t="n">
        <x:v>196412709.237</x:v>
      </x:c>
      <x:c r="AD114" s="9" t="n">
        <x:v>0.00024665039338944705</x:v>
      </x:c>
      <x:c r="AE114" s="9" t="n">
        <x:v>0.0031286668307949355</x:v>
      </x:c>
      <x:c r="AF114" s="9" t="n">
        <x:v>0.6666666666666666</x:v>
      </x:c>
      <x:c r="AG114" s="6" t="str">
        <x:v>esa-ew-id-duration-v1</x:v>
      </x:c>
      <x:c r="AH114" s="6" t="str">
        <x:v>Real prepared telemetry + real annotations</x:v>
      </x:c>
      <x:c r="AI114" s="6" t="str">
        <x:v>5-epoch matched pair. Real native observation age/availability. Not the 40-epoch baseline.</x:v>
      </x:c>
      <x:c r="AJ114" s="6" t="str">
        <x:v>S086</x:v>
      </x:c>
    </x:row>
    <x:row r="115" ht="43" customHeight="1">
      <x:c r="A115" s="6" t="str">
        <x:v>R114</x:v>
      </x:c>
      <x:c r="B115" s="6" t="str">
        <x:v>Timing comparison</x:v>
      </x:c>
      <x:c r="C115" s="6" t="str">
        <x:v>Observation-age context</x:v>
      </x:c>
      <x:c r="D115" s="6" t="str">
        <x:v>full_period_seed42_v1</x:v>
      </x:c>
      <x:c r="E115" s="6" t="n">
        <x:v>42</x:v>
      </x:c>
      <x:c r="F115" s="6" t="str">
        <x:v>40, 41, 42, 43, 44, 45, 46, 47</x:v>
      </x:c>
      <x:c r="G115" s="6" t="str">
        <x:v>2007–2013 pooled</x:v>
      </x:c>
      <x:c r="H115" s="6" t="str">
        <x:v>input_channels_40_47</x:v>
      </x:c>
      <x:c r="I115" s="9" t="n">
        <x:v>0.8332291279161068</x:v>
      </x:c>
      <x:c r="J115" s="9" t="n">
        <x:v>0.6520651108631488</x:v>
      </x:c>
      <x:c r="K115" s="9" t="n">
        <x:v>0.7712382982679568</x:v>
      </x:c>
      <x:c r="L115" s="9" t="n">
        <x:v>0.40298507462686567</x:v>
      </x:c>
      <x:c r="M115" s="6" t="n">
        <x:v>27</x:v>
      </x:c>
      <x:c r="N115" s="6" t="n">
        <x:v>8</x:v>
      </x:c>
      <x:c r="O115" s="6" t="n">
        <x:v>40</x:v>
      </x:c>
      <x:c r="P115" s="6" t="n">
        <x:v>67</x:v>
      </x:c>
      <x:c r="Q115" s="6" t="n">
        <x:v>49</x:v>
      </x:c>
      <x:c r="R115" s="6" t="n">
        <x:v>5</x:v>
      </x:c>
      <x:c r="S115" s="6" t="n">
        <x:v>5</x:v>
      </x:c>
      <x:c r="T115" s="6" t="n">
        <x:v>0</x:v>
      </x:c>
      <x:c r="U115" s="8" t="n">
        <x:v>36526</x:v>
      </x:c>
      <x:c r="V115" s="8" t="n">
        <x:v>38718</x:v>
      </x:c>
      <x:c r="W115" s="8" t="n">
        <x:v>38718</x:v>
      </x:c>
      <x:c r="X115" s="8" t="n">
        <x:v>39083</x:v>
      </x:c>
      <x:c r="Y115" s="8" t="n">
        <x:v>39083</x:v>
      </x:c>
      <x:c r="Z115" s="8" t="n">
        <x:v>41640</x:v>
      </x:c>
      <x:c r="AA115" s="6" t="str">
        <x:v>[start,end)</x:v>
      </x:c>
      <x:c r="AB115" s="10" t="n">
        <x:v>48445.272</x:v>
      </x:c>
      <x:c r="AC115" s="10" t="n">
        <x:v>196412709.237</x:v>
      </x:c>
      <x:c r="AD115" s="9" t="n">
        <x:v>0.00024665039338944705</x:v>
      </x:c>
      <x:c r="AE115" s="9" t="n">
        <x:v>0.0031286668307949355</x:v>
      </x:c>
      <x:c r="AF115" s="9" t="n">
        <x:v>0.675</x:v>
      </x:c>
      <x:c r="AG115" s="6" t="str">
        <x:v>esa-ew-id-duration-v1</x:v>
      </x:c>
      <x:c r="AH115" s="6" t="str">
        <x:v>Real prepared telemetry + real annotations</x:v>
      </x:c>
      <x:c r="AI115" s="6" t="str">
        <x:v>5-epoch matched pair. Real native observation age/availability. Not the 40-epoch baseline.</x:v>
      </x:c>
      <x:c r="AJ115" s="6" t="str">
        <x:v>S086</x:v>
      </x:c>
    </x:row>
    <x:row r="116" ht="43" customHeight="1">
      <x:c r="A116" s="6" t="str">
        <x:v>R115</x:v>
      </x:c>
      <x:c r="B116" s="6" t="str">
        <x:v>Timing comparison</x:v>
      </x:c>
      <x:c r="C116" s="6" t="str">
        <x:v>Zero-context control</x:v>
      </x:c>
      <x:c r="D116" s="6" t="str">
        <x:v>full_period_seed42_v1</x:v>
      </x:c>
      <x:c r="E116" s="6" t="n">
        <x:v>42</x:v>
      </x:c>
      <x:c r="F116" s="6" t="str">
        <x:v>40, 41, 42, 43, 44, 45, 46, 47</x:v>
      </x:c>
      <x:c r="G116" s="6" t="str">
        <x:v>2007</x:v>
      </x:c>
      <x:c r="H116" s="6" t="str">
        <x:v>system_all_channels</x:v>
      </x:c>
      <x:c r="I116" s="9" t="n">
        <x:v>0.8332640734803873</x:v>
      </x:c>
      <x:c r="J116" s="9" t="n">
        <x:v>0.8926958185304573</x:v>
      </x:c>
      <x:c r="K116" s="9" t="n">
        <x:v>0.9997470617364396</x:v>
      </x:c>
      <x:c r="L116" s="9" t="n">
        <x:v>0.625</x:v>
      </x:c>
      <x:c r="M116" s="6" t="n">
        <x:v>10</x:v>
      </x:c>
      <x:c r="N116" s="6" t="n">
        <x:v>0</x:v>
      </x:c>
      <x:c r="O116" s="6" t="n">
        <x:v>6</x:v>
      </x:c>
      <x:c r="P116" s="6" t="n">
        <x:v>16</x:v>
      </x:c>
      <x:c r="Q116" s="6" t="n">
        <x:v>11</x:v>
      </x:c>
      <x:c r="R116" s="6" t="n">
        <x:v>1</x:v>
      </x:c>
      <x:c r="S116" s="6" t="n">
        <x:v>5</x:v>
      </x:c>
      <x:c r="T116" s="6" t="n">
        <x:v>0</x:v>
      </x:c>
      <x:c r="U116" s="8" t="n">
        <x:v>36526</x:v>
      </x:c>
      <x:c r="V116" s="8" t="n">
        <x:v>38718</x:v>
      </x:c>
      <x:c r="W116" s="8" t="n">
        <x:v>38718</x:v>
      </x:c>
      <x:c r="X116" s="8" t="n">
        <x:v>39083</x:v>
      </x:c>
      <x:c r="Y116" s="8" t="n">
        <x:v>39083</x:v>
      </x:c>
      <x:c r="Z116" s="8" t="n">
        <x:v>39448</x:v>
      </x:c>
      <x:c r="AA116" s="6" t="str">
        <x:v>[start,end)</x:v>
      </x:c>
      <x:c r="AB116" s="10" t="n">
        <x:v>7004.712</x:v>
      </x:c>
      <x:c r="AC116" s="10" t="n">
        <x:v>27693366.363</x:v>
      </x:c>
      <x:c r="AD116" s="9" t="n">
        <x:v>0.0002529382635604316</x:v>
      </x:c>
      <x:c r="AE116" s="9" t="n">
        <x:v>0</x:v>
      </x:c>
      <x:c r="AF116" s="9" t="n">
        <x:v>0.8333333333333334</x:v>
      </x:c>
      <x:c r="AG116" s="6" t="str">
        <x:v>esa-ew-id-duration-v1</x:v>
      </x:c>
      <x:c r="AH116" s="6" t="str">
        <x:v>Real prepared telemetry + real annotations</x:v>
      </x:c>
      <x:c r="AI116" s="6" t="str">
        <x:v>5-epoch matched pair. Real native observation age/availability. Not the 40-epoch baseline.</x:v>
      </x:c>
      <x:c r="AJ116" s="6" t="str">
        <x:v>S090</x:v>
      </x:c>
    </x:row>
    <x:row r="117" ht="43" customHeight="1">
      <x:c r="A117" s="6" t="str">
        <x:v>R116</x:v>
      </x:c>
      <x:c r="B117" s="6" t="str">
        <x:v>Timing comparison</x:v>
      </x:c>
      <x:c r="C117" s="6" t="str">
        <x:v>Zero-context control</x:v>
      </x:c>
      <x:c r="D117" s="6" t="str">
        <x:v>full_period_seed42_v1</x:v>
      </x:c>
      <x:c r="E117" s="6" t="n">
        <x:v>42</x:v>
      </x:c>
      <x:c r="F117" s="6" t="str">
        <x:v>40, 41, 42, 43, 44, 45, 46, 47</x:v>
      </x:c>
      <x:c r="G117" s="6" t="str">
        <x:v>2007</x:v>
      </x:c>
      <x:c r="H117" s="6" t="str">
        <x:v>input_channels_40_47</x:v>
      </x:c>
      <x:c r="I117" s="9" t="n">
        <x:v>0.8332640734803873</x:v>
      </x:c>
      <x:c r="J117" s="9" t="n">
        <x:v>0.9432161239179826</x:v>
      </x:c>
      <x:c r="K117" s="9" t="n">
        <x:v>0.9997470617364396</x:v>
      </x:c>
      <x:c r="L117" s="9" t="n">
        <x:v>0.7692307692307693</x:v>
      </x:c>
      <x:c r="M117" s="6" t="n">
        <x:v>10</x:v>
      </x:c>
      <x:c r="N117" s="6" t="n">
        <x:v>0</x:v>
      </x:c>
      <x:c r="O117" s="6" t="n">
        <x:v>3</x:v>
      </x:c>
      <x:c r="P117" s="6" t="n">
        <x:v>13</x:v>
      </x:c>
      <x:c r="Q117" s="6" t="n">
        <x:v>11</x:v>
      </x:c>
      <x:c r="R117" s="6" t="n">
        <x:v>1</x:v>
      </x:c>
      <x:c r="S117" s="6" t="n">
        <x:v>5</x:v>
      </x:c>
      <x:c r="T117" s="6" t="n">
        <x:v>0</x:v>
      </x:c>
      <x:c r="U117" s="8" t="n">
        <x:v>36526</x:v>
      </x:c>
      <x:c r="V117" s="8" t="n">
        <x:v>38718</x:v>
      </x:c>
      <x:c r="W117" s="8" t="n">
        <x:v>38718</x:v>
      </x:c>
      <x:c r="X117" s="8" t="n">
        <x:v>39083</x:v>
      </x:c>
      <x:c r="Y117" s="8" t="n">
        <x:v>39083</x:v>
      </x:c>
      <x:c r="Z117" s="8" t="n">
        <x:v>39448</x:v>
      </x:c>
      <x:c r="AA117" s="6" t="str">
        <x:v>[start,end)</x:v>
      </x:c>
      <x:c r="AB117" s="10" t="n">
        <x:v>7004.712</x:v>
      </x:c>
      <x:c r="AC117" s="10" t="n">
        <x:v>27693366.363</x:v>
      </x:c>
      <x:c r="AD117" s="9" t="n">
        <x:v>0.0002529382635604316</x:v>
      </x:c>
      <x:c r="AE117" s="9" t="n">
        <x:v>0</x:v>
      </x:c>
      <x:c r="AF117" s="9" t="n">
        <x:v>0.8333333333333334</x:v>
      </x:c>
      <x:c r="AG117" s="6" t="str">
        <x:v>esa-ew-id-duration-v1</x:v>
      </x:c>
      <x:c r="AH117" s="6" t="str">
        <x:v>Real prepared telemetry + real annotations</x:v>
      </x:c>
      <x:c r="AI117" s="6" t="str">
        <x:v>5-epoch matched pair. Real native observation age/availability. Not the 40-epoch baseline.</x:v>
      </x:c>
      <x:c r="AJ117" s="6" t="str">
        <x:v>S090</x:v>
      </x:c>
    </x:row>
    <x:row r="118" ht="43" customHeight="1">
      <x:c r="A118" s="6" t="str">
        <x:v>R117</x:v>
      </x:c>
      <x:c r="B118" s="6" t="str">
        <x:v>Timing comparison</x:v>
      </x:c>
      <x:c r="C118" s="6" t="str">
        <x:v>Zero-context control</x:v>
      </x:c>
      <x:c r="D118" s="6" t="str">
        <x:v>full_period_seed42_v1</x:v>
      </x:c>
      <x:c r="E118" s="6" t="n">
        <x:v>42</x:v>
      </x:c>
      <x:c r="F118" s="6" t="str">
        <x:v>40, 41, 42, 43, 44, 45, 46, 47</x:v>
      </x:c>
      <x:c r="G118" s="6" t="str">
        <x:v>2008</x:v>
      </x:c>
      <x:c r="H118" s="6" t="str">
        <x:v>system_all_channels</x:v>
      </x:c>
      <x:c r="I118" s="9" t="n">
        <x:v>0.8332640734803873</x:v>
      </x:c>
      <x:c r="J118" s="9" t="n">
        <x:v>0.5999609888614575</x:v>
      </x:c>
      <x:c r="K118" s="9" t="n">
        <x:v>0.9998645541982047</x:v>
      </x:c>
      <x:c r="L118" s="9" t="n">
        <x:v>0.23076923076923078</x:v>
      </x:c>
      <x:c r="M118" s="6" t="n">
        <x:v>3</x:v>
      </x:c>
      <x:c r="N118" s="6" t="n">
        <x:v>0</x:v>
      </x:c>
      <x:c r="O118" s="6" t="n">
        <x:v>10</x:v>
      </x:c>
      <x:c r="P118" s="6" t="n">
        <x:v>13</x:v>
      </x:c>
      <x:c r="Q118" s="6" t="n">
        <x:v>3</x:v>
      </x:c>
      <x:c r="R118" s="6" t="n">
        <x:v>1</x:v>
      </x:c>
      <x:c r="S118" s="6" t="n">
        <x:v>5</x:v>
      </x:c>
      <x:c r="T118" s="6" t="n">
        <x:v>0</x:v>
      </x:c>
      <x:c r="U118" s="8" t="n">
        <x:v>36526</x:v>
      </x:c>
      <x:c r="V118" s="8" t="n">
        <x:v>38718</x:v>
      </x:c>
      <x:c r="W118" s="8" t="n">
        <x:v>38718</x:v>
      </x:c>
      <x:c r="X118" s="8" t="n">
        <x:v>39083</x:v>
      </x:c>
      <x:c r="Y118" s="8" t="n">
        <x:v>39448</x:v>
      </x:c>
      <x:c r="Z118" s="8" t="n">
        <x:v>39814</x:v>
      </x:c>
      <x:c r="AA118" s="6" t="str">
        <x:v>[start,end)</x:v>
      </x:c>
      <x:c r="AB118" s="10" t="n">
        <x:v>4079.82</x:v>
      </x:c>
      <x:c r="AC118" s="10" t="n">
        <x:v>30121420.863</x:v>
      </x:c>
      <x:c r="AD118" s="9" t="n">
        <x:v>0.00013544580179525312</x:v>
      </x:c>
      <x:c r="AE118" s="9" t="n">
        <x:v>0</x:v>
      </x:c>
      <x:c r="AF118" s="9" t="n">
        <x:v>1</x:v>
      </x:c>
      <x:c r="AG118" s="6" t="str">
        <x:v>esa-ew-id-duration-v1</x:v>
      </x:c>
      <x:c r="AH118" s="6" t="str">
        <x:v>Real prepared telemetry + real annotations</x:v>
      </x:c>
      <x:c r="AI118" s="6" t="str">
        <x:v>5-epoch matched pair. Real native observation age/availability. Not the 40-epoch baseline.</x:v>
      </x:c>
      <x:c r="AJ118" s="6" t="str">
        <x:v>S090</x:v>
      </x:c>
    </x:row>
    <x:row r="119" ht="43" customHeight="1">
      <x:c r="A119" s="6" t="str">
        <x:v>R118</x:v>
      </x:c>
      <x:c r="B119" s="6" t="str">
        <x:v>Timing comparison</x:v>
      </x:c>
      <x:c r="C119" s="6" t="str">
        <x:v>Zero-context control</x:v>
      </x:c>
      <x:c r="D119" s="6" t="str">
        <x:v>full_period_seed42_v1</x:v>
      </x:c>
      <x:c r="E119" s="6" t="n">
        <x:v>42</x:v>
      </x:c>
      <x:c r="F119" s="6" t="str">
        <x:v>40, 41, 42, 43, 44, 45, 46, 47</x:v>
      </x:c>
      <x:c r="G119" s="6" t="str">
        <x:v>2008</x:v>
      </x:c>
      <x:c r="H119" s="6" t="str">
        <x:v>input_channels_40_47</x:v>
      </x:c>
      <x:c r="I119" s="9" t="n">
        <x:v>0.8332640734803873</x:v>
      </x:c>
      <x:c r="J119" s="9" t="n">
        <x:v>0.7142304270756583</x:v>
      </x:c>
      <x:c r="K119" s="9" t="n">
        <x:v>0.9998645541982047</x:v>
      </x:c>
      <x:c r="L119" s="9" t="n">
        <x:v>0.3333333333333333</x:v>
      </x:c>
      <x:c r="M119" s="6" t="n">
        <x:v>3</x:v>
      </x:c>
      <x:c r="N119" s="6" t="n">
        <x:v>0</x:v>
      </x:c>
      <x:c r="O119" s="6" t="n">
        <x:v>6</x:v>
      </x:c>
      <x:c r="P119" s="6" t="n">
        <x:v>9</x:v>
      </x:c>
      <x:c r="Q119" s="6" t="n">
        <x:v>3</x:v>
      </x:c>
      <x:c r="R119" s="6" t="n">
        <x:v>1</x:v>
      </x:c>
      <x:c r="S119" s="6" t="n">
        <x:v>5</x:v>
      </x:c>
      <x:c r="T119" s="6" t="n">
        <x:v>0</x:v>
      </x:c>
      <x:c r="U119" s="8" t="n">
        <x:v>36526</x:v>
      </x:c>
      <x:c r="V119" s="8" t="n">
        <x:v>38718</x:v>
      </x:c>
      <x:c r="W119" s="8" t="n">
        <x:v>38718</x:v>
      </x:c>
      <x:c r="X119" s="8" t="n">
        <x:v>39083</x:v>
      </x:c>
      <x:c r="Y119" s="8" t="n">
        <x:v>39448</x:v>
      </x:c>
      <x:c r="Z119" s="8" t="n">
        <x:v>39814</x:v>
      </x:c>
      <x:c r="AA119" s="6" t="str">
        <x:v>[start,end)</x:v>
      </x:c>
      <x:c r="AB119" s="10" t="n">
        <x:v>4079.82</x:v>
      </x:c>
      <x:c r="AC119" s="10" t="n">
        <x:v>30121420.863</x:v>
      </x:c>
      <x:c r="AD119" s="9" t="n">
        <x:v>0.00013544580179525312</x:v>
      </x:c>
      <x:c r="AE119" s="9" t="n">
        <x:v>0</x:v>
      </x:c>
      <x:c r="AF119" s="9" t="n">
        <x:v>1</x:v>
      </x:c>
      <x:c r="AG119" s="6" t="str">
        <x:v>esa-ew-id-duration-v1</x:v>
      </x:c>
      <x:c r="AH119" s="6" t="str">
        <x:v>Real prepared telemetry + real annotations</x:v>
      </x:c>
      <x:c r="AI119" s="6" t="str">
        <x:v>5-epoch matched pair. Real native observation age/availability. Not the 40-epoch baseline.</x:v>
      </x:c>
      <x:c r="AJ119" s="6" t="str">
        <x:v>S090</x:v>
      </x:c>
    </x:row>
    <x:row r="120" ht="43" customHeight="1">
      <x:c r="A120" s="6" t="str">
        <x:v>R119</x:v>
      </x:c>
      <x:c r="B120" s="6" t="str">
        <x:v>Timing comparison</x:v>
      </x:c>
      <x:c r="C120" s="6" t="str">
        <x:v>Zero-context control</x:v>
      </x:c>
      <x:c r="D120" s="6" t="str">
        <x:v>full_period_seed42_v1</x:v>
      </x:c>
      <x:c r="E120" s="6" t="n">
        <x:v>42</x:v>
      </x:c>
      <x:c r="F120" s="6" t="str">
        <x:v>40, 41, 42, 43, 44, 45, 46, 47</x:v>
      </x:c>
      <x:c r="G120" s="6" t="str">
        <x:v>2009</x:v>
      </x:c>
      <x:c r="H120" s="6" t="str">
        <x:v>system_all_channels</x:v>
      </x:c>
      <x:c r="I120" s="9" t="n">
        <x:v>0.8332640734803873</x:v>
      </x:c>
      <x:c r="J120" s="9" t="n">
        <x:v>0.6249136620372246</x:v>
      </x:c>
      <x:c r="K120" s="9" t="n">
        <x:v>0.9997237566795755</x:v>
      </x:c>
      <x:c r="L120" s="9" t="n">
        <x:v>0.25</x:v>
      </x:c>
      <x:c r="M120" s="6" t="n">
        <x:v>3</x:v>
      </x:c>
      <x:c r="N120" s="6" t="n">
        <x:v>0</x:v>
      </x:c>
      <x:c r="O120" s="6" t="n">
        <x:v>9</x:v>
      </x:c>
      <x:c r="P120" s="6" t="n">
        <x:v>12</x:v>
      </x:c>
      <x:c r="Q120" s="6" t="n">
        <x:v>6</x:v>
      </x:c>
      <x:c r="R120" s="6" t="n">
        <x:v>1</x:v>
      </x:c>
      <x:c r="S120" s="6" t="n">
        <x:v>5</x:v>
      </x:c>
      <x:c r="T120" s="6" t="n">
        <x:v>0</x:v>
      </x:c>
      <x:c r="U120" s="8" t="n">
        <x:v>36526</x:v>
      </x:c>
      <x:c r="V120" s="8" t="n">
        <x:v>38718</x:v>
      </x:c>
      <x:c r="W120" s="8" t="n">
        <x:v>38718</x:v>
      </x:c>
      <x:c r="X120" s="8" t="n">
        <x:v>39083</x:v>
      </x:c>
      <x:c r="Y120" s="8" t="n">
        <x:v>39814</x:v>
      </x:c>
      <x:c r="Z120" s="8" t="n">
        <x:v>40179</x:v>
      </x:c>
      <x:c r="AA120" s="6" t="str">
        <x:v>[start,end)</x:v>
      </x:c>
      <x:c r="AB120" s="10" t="n">
        <x:v>6985.116</x:v>
      </x:c>
      <x:c r="AC120" s="10" t="n">
        <x:v>25286099.187</x:v>
      </x:c>
      <x:c r="AD120" s="9" t="n">
        <x:v>0.0002762433204245296</x:v>
      </x:c>
      <x:c r="AE120" s="9" t="n">
        <x:v>0</x:v>
      </x:c>
      <x:c r="AF120" s="9" t="n">
        <x:v>0.42857142857142855</x:v>
      </x:c>
      <x:c r="AG120" s="6" t="str">
        <x:v>esa-ew-id-duration-v1</x:v>
      </x:c>
      <x:c r="AH120" s="6" t="str">
        <x:v>Real prepared telemetry + real annotations</x:v>
      </x:c>
      <x:c r="AI120" s="6" t="str">
        <x:v>5-epoch matched pair. Real native observation age/availability. Not the 40-epoch baseline.</x:v>
      </x:c>
      <x:c r="AJ120" s="6" t="str">
        <x:v>S090</x:v>
      </x:c>
    </x:row>
    <x:row r="121" ht="43" customHeight="1">
      <x:c r="A121" s="6" t="str">
        <x:v>R120</x:v>
      </x:c>
      <x:c r="B121" s="6" t="str">
        <x:v>Timing comparison</x:v>
      </x:c>
      <x:c r="C121" s="6" t="str">
        <x:v>Zero-context control</x:v>
      </x:c>
      <x:c r="D121" s="6" t="str">
        <x:v>full_period_seed42_v1</x:v>
      </x:c>
      <x:c r="E121" s="6" t="n">
        <x:v>42</x:v>
      </x:c>
      <x:c r="F121" s="6" t="str">
        <x:v>40, 41, 42, 43, 44, 45, 46, 47</x:v>
      </x:c>
      <x:c r="G121" s="6" t="str">
        <x:v>2009</x:v>
      </x:c>
      <x:c r="H121" s="6" t="str">
        <x:v>input_channels_40_47</x:v>
      </x:c>
      <x:c r="I121" s="9" t="n">
        <x:v>0.8332640734803873</x:v>
      </x:c>
      <x:c r="J121" s="9" t="n">
        <x:v>0.6817154337974455</x:v>
      </x:c>
      <x:c r="K121" s="9" t="n">
        <x:v>0.9997237566795755</x:v>
      </x:c>
      <x:c r="L121" s="9" t="n">
        <x:v>0.3</x:v>
      </x:c>
      <x:c r="M121" s="6" t="n">
        <x:v>3</x:v>
      </x:c>
      <x:c r="N121" s="6" t="n">
        <x:v>0</x:v>
      </x:c>
      <x:c r="O121" s="6" t="n">
        <x:v>7</x:v>
      </x:c>
      <x:c r="P121" s="6" t="n">
        <x:v>10</x:v>
      </x:c>
      <x:c r="Q121" s="6" t="n">
        <x:v>6</x:v>
      </x:c>
      <x:c r="R121" s="6" t="n">
        <x:v>1</x:v>
      </x:c>
      <x:c r="S121" s="6" t="n">
        <x:v>5</x:v>
      </x:c>
      <x:c r="T121" s="6" t="n">
        <x:v>0</x:v>
      </x:c>
      <x:c r="U121" s="8" t="n">
        <x:v>36526</x:v>
      </x:c>
      <x:c r="V121" s="8" t="n">
        <x:v>38718</x:v>
      </x:c>
      <x:c r="W121" s="8" t="n">
        <x:v>38718</x:v>
      </x:c>
      <x:c r="X121" s="8" t="n">
        <x:v>39083</x:v>
      </x:c>
      <x:c r="Y121" s="8" t="n">
        <x:v>39814</x:v>
      </x:c>
      <x:c r="Z121" s="8" t="n">
        <x:v>40179</x:v>
      </x:c>
      <x:c r="AA121" s="6" t="str">
        <x:v>[start,end)</x:v>
      </x:c>
      <x:c r="AB121" s="10" t="n">
        <x:v>6985.116</x:v>
      </x:c>
      <x:c r="AC121" s="10" t="n">
        <x:v>25286099.187</x:v>
      </x:c>
      <x:c r="AD121" s="9" t="n">
        <x:v>0.0002762433204245296</x:v>
      </x:c>
      <x:c r="AE121" s="9" t="n">
        <x:v>0</x:v>
      </x:c>
      <x:c r="AF121" s="9" t="n">
        <x:v>0.42857142857142855</x:v>
      </x:c>
      <x:c r="AG121" s="6" t="str">
        <x:v>esa-ew-id-duration-v1</x:v>
      </x:c>
      <x:c r="AH121" s="6" t="str">
        <x:v>Real prepared telemetry + real annotations</x:v>
      </x:c>
      <x:c r="AI121" s="6" t="str">
        <x:v>5-epoch matched pair. Real native observation age/availability. Not the 40-epoch baseline.</x:v>
      </x:c>
      <x:c r="AJ121" s="6" t="str">
        <x:v>S090</x:v>
      </x:c>
    </x:row>
    <x:row r="122" ht="43" customHeight="1">
      <x:c r="A122" s="6" t="str">
        <x:v>R121</x:v>
      </x:c>
      <x:c r="B122" s="6" t="str">
        <x:v>Timing comparison</x:v>
      </x:c>
      <x:c r="C122" s="6" t="str">
        <x:v>Zero-context control</x:v>
      </x:c>
      <x:c r="D122" s="6" t="str">
        <x:v>full_period_seed42_v1</x:v>
      </x:c>
      <x:c r="E122" s="6" t="n">
        <x:v>42</x:v>
      </x:c>
      <x:c r="F122" s="6" t="str">
        <x:v>40, 41, 42, 43, 44, 45, 46, 47</x:v>
      </x:c>
      <x:c r="G122" s="6" t="str">
        <x:v>2010</x:v>
      </x:c>
      <x:c r="H122" s="6" t="str">
        <x:v>system_all_channels</x:v>
      </x:c>
      <x:c r="I122" s="9" t="n">
        <x:v>0.8332640734803873</x:v>
      </x:c>
      <x:c r="J122" s="9" t="n">
        <x:v>0.7811520774295921</x:v>
      </x:c>
      <x:c r="K122" s="9" t="n">
        <x:v>0.9997994696565958</x:v>
      </x:c>
      <x:c r="L122" s="9" t="n">
        <x:v>0.4166666666666667</x:v>
      </x:c>
      <x:c r="M122" s="6" t="n">
        <x:v>5</x:v>
      </x:c>
      <x:c r="N122" s="6" t="n">
        <x:v>0</x:v>
      </x:c>
      <x:c r="O122" s="6" t="n">
        <x:v>7</x:v>
      </x:c>
      <x:c r="P122" s="6" t="n">
        <x:v>12</x:v>
      </x:c>
      <x:c r="Q122" s="6" t="n">
        <x:v>5</x:v>
      </x:c>
      <x:c r="R122" s="6" t="n">
        <x:v>1</x:v>
      </x:c>
      <x:c r="S122" s="6" t="n">
        <x:v>5</x:v>
      </x:c>
      <x:c r="T122" s="6" t="n">
        <x:v>0</x:v>
      </x:c>
      <x:c r="U122" s="8" t="n">
        <x:v>36526</x:v>
      </x:c>
      <x:c r="V122" s="8" t="n">
        <x:v>38718</x:v>
      </x:c>
      <x:c r="W122" s="8" t="n">
        <x:v>38718</x:v>
      </x:c>
      <x:c r="X122" s="8" t="n">
        <x:v>39083</x:v>
      </x:c>
      <x:c r="Y122" s="8" t="n">
        <x:v>40179</x:v>
      </x:c>
      <x:c r="Z122" s="8" t="n">
        <x:v>40544</x:v>
      </x:c>
      <x:c r="AA122" s="6" t="str">
        <x:v>[start,end)</x:v>
      </x:c>
      <x:c r="AB122" s="10" t="n">
        <x:v>5762.61</x:v>
      </x:c>
      <x:c r="AC122" s="10" t="n">
        <x:v>28736848.011</x:v>
      </x:c>
      <x:c r="AD122" s="9" t="n">
        <x:v>0.00020053034340417053</x:v>
      </x:c>
      <x:c r="AE122" s="9" t="n">
        <x:v>0</x:v>
      </x:c>
      <x:c r="AF122" s="9" t="n">
        <x:v>0.8333333333333334</x:v>
      </x:c>
      <x:c r="AG122" s="6" t="str">
        <x:v>esa-ew-id-duration-v1</x:v>
      </x:c>
      <x:c r="AH122" s="6" t="str">
        <x:v>Real prepared telemetry + real annotations</x:v>
      </x:c>
      <x:c r="AI122" s="6" t="str">
        <x:v>5-epoch matched pair. Real native observation age/availability. Not the 40-epoch baseline.</x:v>
      </x:c>
      <x:c r="AJ122" s="6" t="str">
        <x:v>S090</x:v>
      </x:c>
    </x:row>
    <x:row r="123" ht="43" customHeight="1">
      <x:c r="A123" s="6" t="str">
        <x:v>R122</x:v>
      </x:c>
      <x:c r="B123" s="6" t="str">
        <x:v>Timing comparison</x:v>
      </x:c>
      <x:c r="C123" s="6" t="str">
        <x:v>Zero-context control</x:v>
      </x:c>
      <x:c r="D123" s="6" t="str">
        <x:v>full_period_seed42_v1</x:v>
      </x:c>
      <x:c r="E123" s="6" t="n">
        <x:v>42</x:v>
      </x:c>
      <x:c r="F123" s="6" t="str">
        <x:v>40, 41, 42, 43, 44, 45, 46, 47</x:v>
      </x:c>
      <x:c r="G123" s="6" t="str">
        <x:v>2010</x:v>
      </x:c>
      <x:c r="H123" s="6" t="str">
        <x:v>input_channels_40_47</x:v>
      </x:c>
      <x:c r="I123" s="9" t="n">
        <x:v>0.8332640734803873</x:v>
      </x:c>
      <x:c r="J123" s="9" t="n">
        <x:v>0.8927292462797674</x:v>
      </x:c>
      <x:c r="K123" s="9" t="n">
        <x:v>0.9997994696565958</x:v>
      </x:c>
      <x:c r="L123" s="9" t="n">
        <x:v>0.625</x:v>
      </x:c>
      <x:c r="M123" s="6" t="n">
        <x:v>5</x:v>
      </x:c>
      <x:c r="N123" s="6" t="n">
        <x:v>0</x:v>
      </x:c>
      <x:c r="O123" s="6" t="n">
        <x:v>3</x:v>
      </x:c>
      <x:c r="P123" s="6" t="n">
        <x:v>8</x:v>
      </x:c>
      <x:c r="Q123" s="6" t="n">
        <x:v>5</x:v>
      </x:c>
      <x:c r="R123" s="6" t="n">
        <x:v>1</x:v>
      </x:c>
      <x:c r="S123" s="6" t="n">
        <x:v>5</x:v>
      </x:c>
      <x:c r="T123" s="6" t="n">
        <x:v>0</x:v>
      </x:c>
      <x:c r="U123" s="8" t="n">
        <x:v>36526</x:v>
      </x:c>
      <x:c r="V123" s="8" t="n">
        <x:v>38718</x:v>
      </x:c>
      <x:c r="W123" s="8" t="n">
        <x:v>38718</x:v>
      </x:c>
      <x:c r="X123" s="8" t="n">
        <x:v>39083</x:v>
      </x:c>
      <x:c r="Y123" s="8" t="n">
        <x:v>40179</x:v>
      </x:c>
      <x:c r="Z123" s="8" t="n">
        <x:v>40544</x:v>
      </x:c>
      <x:c r="AA123" s="6" t="str">
        <x:v>[start,end)</x:v>
      </x:c>
      <x:c r="AB123" s="10" t="n">
        <x:v>5762.61</x:v>
      </x:c>
      <x:c r="AC123" s="10" t="n">
        <x:v>28736848.011</x:v>
      </x:c>
      <x:c r="AD123" s="9" t="n">
        <x:v>0.00020053034340417053</x:v>
      </x:c>
      <x:c r="AE123" s="9" t="n">
        <x:v>0</x:v>
      </x:c>
      <x:c r="AF123" s="9" t="n">
        <x:v>0.8333333333333334</x:v>
      </x:c>
      <x:c r="AG123" s="6" t="str">
        <x:v>esa-ew-id-duration-v1</x:v>
      </x:c>
      <x:c r="AH123" s="6" t="str">
        <x:v>Real prepared telemetry + real annotations</x:v>
      </x:c>
      <x:c r="AI123" s="6" t="str">
        <x:v>5-epoch matched pair. Real native observation age/availability. Not the 40-epoch baseline.</x:v>
      </x:c>
      <x:c r="AJ123" s="6" t="str">
        <x:v>S090</x:v>
      </x:c>
    </x:row>
    <x:row r="124" ht="43" customHeight="1">
      <x:c r="A124" s="6" t="str">
        <x:v>R123</x:v>
      </x:c>
      <x:c r="B124" s="6" t="str">
        <x:v>Timing comparison</x:v>
      </x:c>
      <x:c r="C124" s="6" t="str">
        <x:v>Zero-context control</x:v>
      </x:c>
      <x:c r="D124" s="6" t="str">
        <x:v>full_period_seed42_v1</x:v>
      </x:c>
      <x:c r="E124" s="6" t="n">
        <x:v>42</x:v>
      </x:c>
      <x:c r="F124" s="6" t="str">
        <x:v>40, 41, 42, 43, 44, 45, 46, 47</x:v>
      </x:c>
      <x:c r="G124" s="6" t="str">
        <x:v>2011</x:v>
      </x:c>
      <x:c r="H124" s="6" t="str">
        <x:v>system_all_channels</x:v>
      </x:c>
      <x:c r="I124" s="9" t="n">
        <x:v>0.8332640734803873</x:v>
      </x:c>
      <x:c r="J124" s="9" t="n">
        <x:v>0.6451187799877715</x:v>
      </x:c>
      <x:c r="K124" s="9" t="n">
        <x:v>0.9998723440364462</x:v>
      </x:c>
      <x:c r="L124" s="9" t="n">
        <x:v>0.26666666666666666</x:v>
      </x:c>
      <x:c r="M124" s="6" t="n">
        <x:v>4</x:v>
      </x:c>
      <x:c r="N124" s="6" t="n">
        <x:v>0</x:v>
      </x:c>
      <x:c r="O124" s="6" t="n">
        <x:v>11</x:v>
      </x:c>
      <x:c r="P124" s="6" t="n">
        <x:v>15</x:v>
      </x:c>
      <x:c r="Q124" s="6" t="n">
        <x:v>4</x:v>
      </x:c>
      <x:c r="R124" s="6" t="n">
        <x:v>1</x:v>
      </x:c>
      <x:c r="S124" s="6" t="n">
        <x:v>5</x:v>
      </x:c>
      <x:c r="T124" s="6" t="n">
        <x:v>0</x:v>
      </x:c>
      <x:c r="U124" s="8" t="n">
        <x:v>36526</x:v>
      </x:c>
      <x:c r="V124" s="8" t="n">
        <x:v>38718</x:v>
      </x:c>
      <x:c r="W124" s="8" t="n">
        <x:v>38718</x:v>
      </x:c>
      <x:c r="X124" s="8" t="n">
        <x:v>39083</x:v>
      </x:c>
      <x:c r="Y124" s="8" t="n">
        <x:v>40544</x:v>
      </x:c>
      <x:c r="Z124" s="8" t="n">
        <x:v>40909</x:v>
      </x:c>
      <x:c r="AA124" s="6" t="str">
        <x:v>[start,end)</x:v>
      </x:c>
      <x:c r="AB124" s="10" t="n">
        <x:v>3556.965</x:v>
      </x:c>
      <x:c r="AC124" s="10" t="n">
        <x:v>27863680.638</x:v>
      </x:c>
      <x:c r="AD124" s="9" t="n">
        <x:v>0.0001276559635537966</x:v>
      </x:c>
      <x:c r="AE124" s="9" t="n">
        <x:v>0</x:v>
      </x:c>
      <x:c r="AF124" s="9" t="n">
        <x:v>1</x:v>
      </x:c>
      <x:c r="AG124" s="6" t="str">
        <x:v>esa-ew-id-duration-v1</x:v>
      </x:c>
      <x:c r="AH124" s="6" t="str">
        <x:v>Real prepared telemetry + real annotations</x:v>
      </x:c>
      <x:c r="AI124" s="6" t="str">
        <x:v>5-epoch matched pair. Real native observation age/availability. Not the 40-epoch baseline.</x:v>
      </x:c>
      <x:c r="AJ124" s="6" t="str">
        <x:v>S090</x:v>
      </x:c>
    </x:row>
    <x:row r="125" ht="43" customHeight="1">
      <x:c r="A125" s="6" t="str">
        <x:v>R124</x:v>
      </x:c>
      <x:c r="B125" s="6" t="str">
        <x:v>Timing comparison</x:v>
      </x:c>
      <x:c r="C125" s="6" t="str">
        <x:v>Zero-context control</x:v>
      </x:c>
      <x:c r="D125" s="6" t="str">
        <x:v>full_period_seed42_v1</x:v>
      </x:c>
      <x:c r="E125" s="6" t="n">
        <x:v>42</x:v>
      </x:c>
      <x:c r="F125" s="6" t="str">
        <x:v>40, 41, 42, 43, 44, 45, 46, 47</x:v>
      </x:c>
      <x:c r="G125" s="6" t="str">
        <x:v>2011</x:v>
      </x:c>
      <x:c r="H125" s="6" t="str">
        <x:v>input_channels_40_47</x:v>
      </x:c>
      <x:c r="I125" s="9" t="n">
        <x:v>0.8332640734803873</x:v>
      </x:c>
      <x:c r="J125" s="9" t="n">
        <x:v>0.7406847022867363</x:v>
      </x:c>
      <x:c r="K125" s="9" t="n">
        <x:v>0.9998723440364462</x:v>
      </x:c>
      <x:c r="L125" s="9" t="n">
        <x:v>0.36363636363636365</x:v>
      </x:c>
      <x:c r="M125" s="6" t="n">
        <x:v>4</x:v>
      </x:c>
      <x:c r="N125" s="6" t="n">
        <x:v>0</x:v>
      </x:c>
      <x:c r="O125" s="6" t="n">
        <x:v>7</x:v>
      </x:c>
      <x:c r="P125" s="6" t="n">
        <x:v>11</x:v>
      </x:c>
      <x:c r="Q125" s="6" t="n">
        <x:v>4</x:v>
      </x:c>
      <x:c r="R125" s="6" t="n">
        <x:v>1</x:v>
      </x:c>
      <x:c r="S125" s="6" t="n">
        <x:v>5</x:v>
      </x:c>
      <x:c r="T125" s="6" t="n">
        <x:v>0</x:v>
      </x:c>
      <x:c r="U125" s="8" t="n">
        <x:v>36526</x:v>
      </x:c>
      <x:c r="V125" s="8" t="n">
        <x:v>38718</x:v>
      </x:c>
      <x:c r="W125" s="8" t="n">
        <x:v>38718</x:v>
      </x:c>
      <x:c r="X125" s="8" t="n">
        <x:v>39083</x:v>
      </x:c>
      <x:c r="Y125" s="8" t="n">
        <x:v>40544</x:v>
      </x:c>
      <x:c r="Z125" s="8" t="n">
        <x:v>40909</x:v>
      </x:c>
      <x:c r="AA125" s="6" t="str">
        <x:v>[start,end)</x:v>
      </x:c>
      <x:c r="AB125" s="10" t="n">
        <x:v>3556.965</x:v>
      </x:c>
      <x:c r="AC125" s="10" t="n">
        <x:v>27863680.638</x:v>
      </x:c>
      <x:c r="AD125" s="9" t="n">
        <x:v>0.0001276559635537966</x:v>
      </x:c>
      <x:c r="AE125" s="9" t="n">
        <x:v>0</x:v>
      </x:c>
      <x:c r="AF125" s="9" t="n">
        <x:v>1</x:v>
      </x:c>
      <x:c r="AG125" s="6" t="str">
        <x:v>esa-ew-id-duration-v1</x:v>
      </x:c>
      <x:c r="AH125" s="6" t="str">
        <x:v>Real prepared telemetry + real annotations</x:v>
      </x:c>
      <x:c r="AI125" s="6" t="str">
        <x:v>5-epoch matched pair. Real native observation age/availability. Not the 40-epoch baseline.</x:v>
      </x:c>
      <x:c r="AJ125" s="6" t="str">
        <x:v>S090</x:v>
      </x:c>
    </x:row>
    <x:row r="126" ht="43" customHeight="1">
      <x:c r="A126" s="6" t="str">
        <x:v>R125</x:v>
      </x:c>
      <x:c r="B126" s="6" t="str">
        <x:v>Timing comparison</x:v>
      </x:c>
      <x:c r="C126" s="6" t="str">
        <x:v>Zero-context control</x:v>
      </x:c>
      <x:c r="D126" s="6" t="str">
        <x:v>full_period_seed42_v1</x:v>
      </x:c>
      <x:c r="E126" s="6" t="n">
        <x:v>42</x:v>
      </x:c>
      <x:c r="F126" s="6" t="str">
        <x:v>40, 41, 42, 43, 44, 45, 46, 47</x:v>
      </x:c>
      <x:c r="G126" s="6" t="str">
        <x:v>2012</x:v>
      </x:c>
      <x:c r="H126" s="6" t="str">
        <x:v>system_all_channels</x:v>
      </x:c>
      <x:c r="I126" s="9" t="n">
        <x:v>0.8332640734803873</x:v>
      </x:c>
      <x:c r="J126" s="9" t="n">
        <x:v>0.357135360780228</x:v>
      </x:c>
      <x:c r="K126" s="9" t="n">
        <x:v>0.9999265395010405</x:v>
      </x:c>
      <x:c r="L126" s="9" t="n">
        <x:v>0.1</x:v>
      </x:c>
      <x:c r="M126" s="6" t="n">
        <x:v>1</x:v>
      </x:c>
      <x:c r="N126" s="6" t="n">
        <x:v>0</x:v>
      </x:c>
      <x:c r="O126" s="6" t="n">
        <x:v>9</x:v>
      </x:c>
      <x:c r="P126" s="6" t="n">
        <x:v>10</x:v>
      </x:c>
      <x:c r="Q126" s="6" t="n">
        <x:v>1</x:v>
      </x:c>
      <x:c r="R126" s="6" t="n">
        <x:v>1</x:v>
      </x:c>
      <x:c r="S126" s="6" t="n">
        <x:v>5</x:v>
      </x:c>
      <x:c r="T126" s="6" t="n">
        <x:v>0</x:v>
      </x:c>
      <x:c r="U126" s="8" t="n">
        <x:v>36526</x:v>
      </x:c>
      <x:c r="V126" s="8" t="n">
        <x:v>38718</x:v>
      </x:c>
      <x:c r="W126" s="8" t="n">
        <x:v>38718</x:v>
      </x:c>
      <x:c r="X126" s="8" t="n">
        <x:v>39083</x:v>
      </x:c>
      <x:c r="Y126" s="8" t="n">
        <x:v>40909</x:v>
      </x:c>
      <x:c r="Z126" s="8" t="n">
        <x:v>41275</x:v>
      </x:c>
      <x:c r="AA126" s="6" t="str">
        <x:v>[start,end)</x:v>
      </x:c>
      <x:c r="AB126" s="10" t="n">
        <x:v>2177.088</x:v>
      </x:c>
      <x:c r="AC126" s="10" t="n">
        <x:v>29636172.24</x:v>
      </x:c>
      <x:c r="AD126" s="9" t="n">
        <x:v>0.00007346049895951001</x:v>
      </x:c>
      <x:c r="AE126" s="9" t="n">
        <x:v>0</x:v>
      </x:c>
      <x:c r="AF126" s="9" t="n">
        <x:v>1</x:v>
      </x:c>
      <x:c r="AG126" s="6" t="str">
        <x:v>esa-ew-id-duration-v1</x:v>
      </x:c>
      <x:c r="AH126" s="6" t="str">
        <x:v>Real prepared telemetry + real annotations</x:v>
      </x:c>
      <x:c r="AI126" s="6" t="str">
        <x:v>5-epoch matched pair. Real native observation age/availability. Not the 40-epoch baseline.</x:v>
      </x:c>
      <x:c r="AJ126" s="6" t="str">
        <x:v>S090</x:v>
      </x:c>
    </x:row>
    <x:row r="127" ht="43" customHeight="1">
      <x:c r="A127" s="6" t="str">
        <x:v>R126</x:v>
      </x:c>
      <x:c r="B127" s="6" t="str">
        <x:v>Timing comparison</x:v>
      </x:c>
      <x:c r="C127" s="6" t="str">
        <x:v>Zero-context control</x:v>
      </x:c>
      <x:c r="D127" s="6" t="str">
        <x:v>full_period_seed42_v1</x:v>
      </x:c>
      <x:c r="E127" s="6" t="n">
        <x:v>42</x:v>
      </x:c>
      <x:c r="F127" s="6" t="str">
        <x:v>40, 41, 42, 43, 44, 45, 46, 47</x:v>
      </x:c>
      <x:c r="G127" s="6" t="str">
        <x:v>2012</x:v>
      </x:c>
      <x:c r="H127" s="6" t="str">
        <x:v>input_channels_40_47</x:v>
      </x:c>
      <x:c r="I127" s="9" t="n">
        <x:v>0.8332640734803873</x:v>
      </x:c>
      <x:c r="J127" s="9" t="n">
        <x:v>0.4166564633198936</x:v>
      </x:c>
      <x:c r="K127" s="9" t="n">
        <x:v>0.9999265395010405</x:v>
      </x:c>
      <x:c r="L127" s="9" t="n">
        <x:v>0.125</x:v>
      </x:c>
      <x:c r="M127" s="6" t="n">
        <x:v>1</x:v>
      </x:c>
      <x:c r="N127" s="6" t="n">
        <x:v>0</x:v>
      </x:c>
      <x:c r="O127" s="6" t="n">
        <x:v>7</x:v>
      </x:c>
      <x:c r="P127" s="6" t="n">
        <x:v>8</x:v>
      </x:c>
      <x:c r="Q127" s="6" t="n">
        <x:v>1</x:v>
      </x:c>
      <x:c r="R127" s="6" t="n">
        <x:v>1</x:v>
      </x:c>
      <x:c r="S127" s="6" t="n">
        <x:v>5</x:v>
      </x:c>
      <x:c r="T127" s="6" t="n">
        <x:v>0</x:v>
      </x:c>
      <x:c r="U127" s="8" t="n">
        <x:v>36526</x:v>
      </x:c>
      <x:c r="V127" s="8" t="n">
        <x:v>38718</x:v>
      </x:c>
      <x:c r="W127" s="8" t="n">
        <x:v>38718</x:v>
      </x:c>
      <x:c r="X127" s="8" t="n">
        <x:v>39083</x:v>
      </x:c>
      <x:c r="Y127" s="8" t="n">
        <x:v>40909</x:v>
      </x:c>
      <x:c r="Z127" s="8" t="n">
        <x:v>41275</x:v>
      </x:c>
      <x:c r="AA127" s="6" t="str">
        <x:v>[start,end)</x:v>
      </x:c>
      <x:c r="AB127" s="10" t="n">
        <x:v>2177.088</x:v>
      </x:c>
      <x:c r="AC127" s="10" t="n">
        <x:v>29636172.24</x:v>
      </x:c>
      <x:c r="AD127" s="9" t="n">
        <x:v>0.00007346049895951001</x:v>
      </x:c>
      <x:c r="AE127" s="9" t="n">
        <x:v>0</x:v>
      </x:c>
      <x:c r="AF127" s="9" t="n">
        <x:v>1</x:v>
      </x:c>
      <x:c r="AG127" s="6" t="str">
        <x:v>esa-ew-id-duration-v1</x:v>
      </x:c>
      <x:c r="AH127" s="6" t="str">
        <x:v>Real prepared telemetry + real annotations</x:v>
      </x:c>
      <x:c r="AI127" s="6" t="str">
        <x:v>5-epoch matched pair. Real native observation age/availability. Not the 40-epoch baseline.</x:v>
      </x:c>
      <x:c r="AJ127" s="6" t="str">
        <x:v>S090</x:v>
      </x:c>
    </x:row>
    <x:row r="128" ht="43" customHeight="1">
      <x:c r="A128" s="6" t="str">
        <x:v>R127</x:v>
      </x:c>
      <x:c r="B128" s="6" t="str">
        <x:v>Timing comparison</x:v>
      </x:c>
      <x:c r="C128" s="6" t="str">
        <x:v>Zero-context control</x:v>
      </x:c>
      <x:c r="D128" s="6" t="str">
        <x:v>full_period_seed42_v1</x:v>
      </x:c>
      <x:c r="E128" s="6" t="n">
        <x:v>42</x:v>
      </x:c>
      <x:c r="F128" s="6" t="str">
        <x:v>40, 41, 42, 43, 44, 45, 46, 47</x:v>
      </x:c>
      <x:c r="G128" s="6" t="str">
        <x:v>2013</x:v>
      </x:c>
      <x:c r="H128" s="6" t="str">
        <x:v>system_all_channels</x:v>
      </x:c>
      <x:c r="I128" s="9" t="n">
        <x:v>0.8332640734803873</x:v>
      </x:c>
      <x:c r="J128" s="9" t="n">
        <x:v>0.4545454545454545</x:v>
      </x:c>
      <x:c r="K128" s="9" t="n">
        <x:v>1</x:v>
      </x:c>
      <x:c r="L128" s="9" t="n">
        <x:v>0.14285714285714285</x:v>
      </x:c>
      <x:c r="M128" s="6" t="n">
        <x:v>2</x:v>
      </x:c>
      <x:c r="N128" s="6" t="n">
        <x:v>0</x:v>
      </x:c>
      <x:c r="O128" s="6" t="n">
        <x:v>12</x:v>
      </x:c>
      <x:c r="P128" s="6" t="n">
        <x:v>14</x:v>
      </x:c>
      <x:c r="Q128" s="6" t="n">
        <x:v>11</x:v>
      </x:c>
      <x:c r="R128" s="6" t="n">
        <x:v>1</x:v>
      </x:c>
      <x:c r="S128" s="6" t="n">
        <x:v>5</x:v>
      </x:c>
      <x:c r="T128" s="6" t="n">
        <x:v>0</x:v>
      </x:c>
      <x:c r="U128" s="8" t="n">
        <x:v>36526</x:v>
      </x:c>
      <x:c r="V128" s="8" t="n">
        <x:v>38718</x:v>
      </x:c>
      <x:c r="W128" s="8" t="n">
        <x:v>38718</x:v>
      </x:c>
      <x:c r="X128" s="8" t="n">
        <x:v>39083</x:v>
      </x:c>
      <x:c r="Y128" s="8" t="n">
        <x:v>41275</x:v>
      </x:c>
      <x:c r="Z128" s="8" t="n">
        <x:v>41640</x:v>
      </x:c>
      <x:c r="AA128" s="6" t="str">
        <x:v>[start,end)</x:v>
      </x:c>
      <x:c r="AB128" s="10" t="n">
        <x:v>0</x:v>
      </x:c>
      <x:c r="AC128" s="10" t="n">
        <x:v>27074971.935</x:v>
      </x:c>
      <x:c r="AD128" s="9" t="n">
        <x:v>0</x:v>
      </x:c>
      <x:c r="AE128" s="9" t="n">
        <x:v>0</x:v>
      </x:c>
      <x:c r="AF128" s="9" t="n">
        <x:v>0.18181818181818182</x:v>
      </x:c>
      <x:c r="AG128" s="6" t="str">
        <x:v>esa-ew-id-duration-v1</x:v>
      </x:c>
      <x:c r="AH128" s="6" t="str">
        <x:v>Real prepared telemetry + real annotations</x:v>
      </x:c>
      <x:c r="AI128" s="6" t="str">
        <x:v>5-epoch matched pair. Real native observation age/availability. Not the 40-epoch baseline.</x:v>
      </x:c>
      <x:c r="AJ128" s="6" t="str">
        <x:v>S090</x:v>
      </x:c>
    </x:row>
    <x:row r="129" ht="43" customHeight="1">
      <x:c r="A129" s="6" t="str">
        <x:v>R128</x:v>
      </x:c>
      <x:c r="B129" s="6" t="str">
        <x:v>Timing comparison</x:v>
      </x:c>
      <x:c r="C129" s="6" t="str">
        <x:v>Zero-context control</x:v>
      </x:c>
      <x:c r="D129" s="6" t="str">
        <x:v>full_period_seed42_v1</x:v>
      </x:c>
      <x:c r="E129" s="6" t="n">
        <x:v>42</x:v>
      </x:c>
      <x:c r="F129" s="6" t="str">
        <x:v>40, 41, 42, 43, 44, 45, 46, 47</x:v>
      </x:c>
      <x:c r="G129" s="6" t="str">
        <x:v>2013</x:v>
      </x:c>
      <x:c r="H129" s="6" t="str">
        <x:v>input_channels_40_47</x:v>
      </x:c>
      <x:c r="I129" s="9" t="n">
        <x:v>0.8332640734803873</x:v>
      </x:c>
      <x:c r="J129" s="9" t="n">
        <x:v>0.5882352941176471</x:v>
      </x:c>
      <x:c r="K129" s="9" t="n">
        <x:v>1</x:v>
      </x:c>
      <x:c r="L129" s="9" t="n">
        <x:v>0.2222222222222222</x:v>
      </x:c>
      <x:c r="M129" s="6" t="n">
        <x:v>2</x:v>
      </x:c>
      <x:c r="N129" s="6" t="n">
        <x:v>0</x:v>
      </x:c>
      <x:c r="O129" s="6" t="n">
        <x:v>7</x:v>
      </x:c>
      <x:c r="P129" s="6" t="n">
        <x:v>9</x:v>
      </x:c>
      <x:c r="Q129" s="6" t="n">
        <x:v>11</x:v>
      </x:c>
      <x:c r="R129" s="6" t="n">
        <x:v>1</x:v>
      </x:c>
      <x:c r="S129" s="6" t="n">
        <x:v>5</x:v>
      </x:c>
      <x:c r="T129" s="6" t="n">
        <x:v>0</x:v>
      </x:c>
      <x:c r="U129" s="8" t="n">
        <x:v>36526</x:v>
      </x:c>
      <x:c r="V129" s="8" t="n">
        <x:v>38718</x:v>
      </x:c>
      <x:c r="W129" s="8" t="n">
        <x:v>38718</x:v>
      </x:c>
      <x:c r="X129" s="8" t="n">
        <x:v>39083</x:v>
      </x:c>
      <x:c r="Y129" s="8" t="n">
        <x:v>41275</x:v>
      </x:c>
      <x:c r="Z129" s="8" t="n">
        <x:v>41640</x:v>
      </x:c>
      <x:c r="AA129" s="6" t="str">
        <x:v>[start,end)</x:v>
      </x:c>
      <x:c r="AB129" s="10" t="n">
        <x:v>0</x:v>
      </x:c>
      <x:c r="AC129" s="10" t="n">
        <x:v>27074971.935</x:v>
      </x:c>
      <x:c r="AD129" s="9" t="n">
        <x:v>0</x:v>
      </x:c>
      <x:c r="AE129" s="9" t="n">
        <x:v>0</x:v>
      </x:c>
      <x:c r="AF129" s="9" t="n">
        <x:v>0.18181818181818182</x:v>
      </x:c>
      <x:c r="AG129" s="6" t="str">
        <x:v>esa-ew-id-duration-v1</x:v>
      </x:c>
      <x:c r="AH129" s="6" t="str">
        <x:v>Real prepared telemetry + real annotations</x:v>
      </x:c>
      <x:c r="AI129" s="6" t="str">
        <x:v>5-epoch matched pair. Real native observation age/availability. Not the 40-epoch baseline.</x:v>
      </x:c>
      <x:c r="AJ129" s="6" t="str">
        <x:v>S090</x:v>
      </x:c>
    </x:row>
    <x:row r="130" ht="43" customHeight="1">
      <x:c r="A130" s="6" t="str">
        <x:v>R129</x:v>
      </x:c>
      <x:c r="B130" s="6" t="str">
        <x:v>Timing comparison</x:v>
      </x:c>
      <x:c r="C130" s="6" t="str">
        <x:v>Observation-age context</x:v>
      </x:c>
      <x:c r="D130" s="6" t="str">
        <x:v>full_period_seed42_v1</x:v>
      </x:c>
      <x:c r="E130" s="6" t="n">
        <x:v>42</x:v>
      </x:c>
      <x:c r="F130" s="6" t="str">
        <x:v>40, 41, 42, 43, 44, 45, 46, 47</x:v>
      </x:c>
      <x:c r="G130" s="6" t="str">
        <x:v>2007</x:v>
      </x:c>
      <x:c r="H130" s="6" t="str">
        <x:v>system_all_channels</x:v>
      </x:c>
      <x:c r="I130" s="9" t="n">
        <x:v>0.8332291279161068</x:v>
      </x:c>
      <x:c r="J130" s="9" t="n">
        <x:v>0.7290152315205891</x:v>
      </x:c>
      <x:c r="K130" s="9" t="n">
        <x:v>0.8747274450395065</x:v>
      </x:c>
      <x:c r="L130" s="9" t="n">
        <x:v>0.4375</x:v>
      </x:c>
      <x:c r="M130" s="6" t="n">
        <x:v>7</x:v>
      </x:c>
      <x:c r="N130" s="6" t="n">
        <x:v>1</x:v>
      </x:c>
      <x:c r="O130" s="6" t="n">
        <x:v>9</x:v>
      </x:c>
      <x:c r="P130" s="6" t="n">
        <x:v>16</x:v>
      </x:c>
      <x:c r="Q130" s="6" t="n">
        <x:v>9</x:v>
      </x:c>
      <x:c r="R130" s="6" t="n">
        <x:v>5</x:v>
      </x:c>
      <x:c r="S130" s="6" t="n">
        <x:v>5</x:v>
      </x:c>
      <x:c r="T130" s="6" t="n">
        <x:v>0</x:v>
      </x:c>
      <x:c r="U130" s="8" t="n">
        <x:v>36526</x:v>
      </x:c>
      <x:c r="V130" s="8" t="n">
        <x:v>38718</x:v>
      </x:c>
      <x:c r="W130" s="8" t="n">
        <x:v>38718</x:v>
      </x:c>
      <x:c r="X130" s="8" t="n">
        <x:v>39083</x:v>
      </x:c>
      <x:c r="Y130" s="8" t="n">
        <x:v>39083</x:v>
      </x:c>
      <x:c r="Z130" s="8" t="n">
        <x:v>39448</x:v>
      </x:c>
      <x:c r="AA130" s="6" t="str">
        <x:v>[start,end)</x:v>
      </x:c>
      <x:c r="AB130" s="10" t="n">
        <x:v>8626.245</x:v>
      </x:c>
      <x:c r="AC130" s="10" t="n">
        <x:v>27693366.363</x:v>
      </x:c>
      <x:c r="AD130" s="9" t="n">
        <x:v>0.00031149138342112526</x:v>
      </x:c>
      <x:c r="AE130" s="9" t="n">
        <x:v>0.0027397286336840122</x:v>
      </x:c>
      <x:c r="AF130" s="9" t="n">
        <x:v>0.875</x:v>
      </x:c>
      <x:c r="AG130" s="6" t="str">
        <x:v>esa-ew-id-duration-v1</x:v>
      </x:c>
      <x:c r="AH130" s="6" t="str">
        <x:v>Real prepared telemetry + real annotations</x:v>
      </x:c>
      <x:c r="AI130" s="6" t="str">
        <x:v>5-epoch matched pair. Real native observation age/availability. Not the 40-epoch baseline.</x:v>
      </x:c>
      <x:c r="AJ130" s="6" t="str">
        <x:v>S090</x:v>
      </x:c>
    </x:row>
    <x:row r="131" ht="43" customHeight="1">
      <x:c r="A131" s="6" t="str">
        <x:v>R130</x:v>
      </x:c>
      <x:c r="B131" s="6" t="str">
        <x:v>Timing comparison</x:v>
      </x:c>
      <x:c r="C131" s="6" t="str">
        <x:v>Observation-age context</x:v>
      </x:c>
      <x:c r="D131" s="6" t="str">
        <x:v>full_period_seed42_v1</x:v>
      </x:c>
      <x:c r="E131" s="6" t="n">
        <x:v>42</x:v>
      </x:c>
      <x:c r="F131" s="6" t="str">
        <x:v>40, 41, 42, 43, 44, 45, 46, 47</x:v>
      </x:c>
      <x:c r="G131" s="6" t="str">
        <x:v>2007</x:v>
      </x:c>
      <x:c r="H131" s="6" t="str">
        <x:v>input_channels_40_47</x:v>
      </x:c>
      <x:c r="I131" s="9" t="n">
        <x:v>0.8332291279161068</x:v>
      </x:c>
      <x:c r="J131" s="9" t="n">
        <x:v>0.7315516486574016</x:v>
      </x:c>
      <x:c r="K131" s="9" t="n">
        <x:v>0.8568758645284962</x:v>
      </x:c>
      <x:c r="L131" s="9" t="n">
        <x:v>0.46153846153846156</x:v>
      </x:c>
      <x:c r="M131" s="6" t="n">
        <x:v>6</x:v>
      </x:c>
      <x:c r="N131" s="6" t="n">
        <x:v>1</x:v>
      </x:c>
      <x:c r="O131" s="6" t="n">
        <x:v>7</x:v>
      </x:c>
      <x:c r="P131" s="6" t="n">
        <x:v>13</x:v>
      </x:c>
      <x:c r="Q131" s="6" t="n">
        <x:v>9</x:v>
      </x:c>
      <x:c r="R131" s="6" t="n">
        <x:v>5</x:v>
      </x:c>
      <x:c r="S131" s="6" t="n">
        <x:v>5</x:v>
      </x:c>
      <x:c r="T131" s="6" t="n">
        <x:v>0</x:v>
      </x:c>
      <x:c r="U131" s="8" t="n">
        <x:v>36526</x:v>
      </x:c>
      <x:c r="V131" s="8" t="n">
        <x:v>38718</x:v>
      </x:c>
      <x:c r="W131" s="8" t="n">
        <x:v>38718</x:v>
      </x:c>
      <x:c r="X131" s="8" t="n">
        <x:v>39083</x:v>
      </x:c>
      <x:c r="Y131" s="8" t="n">
        <x:v>39083</x:v>
      </x:c>
      <x:c r="Z131" s="8" t="n">
        <x:v>39448</x:v>
      </x:c>
      <x:c r="AA131" s="6" t="str">
        <x:v>[start,end)</x:v>
      </x:c>
      <x:c r="AB131" s="10" t="n">
        <x:v>8626.245</x:v>
      </x:c>
      <x:c r="AC131" s="10" t="n">
        <x:v>27693366.363</x:v>
      </x:c>
      <x:c r="AD131" s="9" t="n">
        <x:v>0.00031149138342112526</x:v>
      </x:c>
      <x:c r="AE131" s="9" t="n">
        <x:v>0.0027397286336840122</x:v>
      </x:c>
      <x:c r="AF131" s="9" t="n">
        <x:v>1</x:v>
      </x:c>
      <x:c r="AG131" s="6" t="str">
        <x:v>esa-ew-id-duration-v1</x:v>
      </x:c>
      <x:c r="AH131" s="6" t="str">
        <x:v>Real prepared telemetry + real annotations</x:v>
      </x:c>
      <x:c r="AI131" s="6" t="str">
        <x:v>5-epoch matched pair. Real native observation age/availability. Not the 40-epoch baseline.</x:v>
      </x:c>
      <x:c r="AJ131" s="6" t="str">
        <x:v>S090</x:v>
      </x:c>
    </x:row>
    <x:row r="132" ht="43" customHeight="1">
      <x:c r="A132" s="6" t="str">
        <x:v>R131</x:v>
      </x:c>
      <x:c r="B132" s="6" t="str">
        <x:v>Timing comparison</x:v>
      </x:c>
      <x:c r="C132" s="6" t="str">
        <x:v>Observation-age context</x:v>
      </x:c>
      <x:c r="D132" s="6" t="str">
        <x:v>full_period_seed42_v1</x:v>
      </x:c>
      <x:c r="E132" s="6" t="n">
        <x:v>42</x:v>
      </x:c>
      <x:c r="F132" s="6" t="str">
        <x:v>40, 41, 42, 43, 44, 45, 46, 47</x:v>
      </x:c>
      <x:c r="G132" s="6" t="str">
        <x:v>2008</x:v>
      </x:c>
      <x:c r="H132" s="6" t="str">
        <x:v>system_all_channels</x:v>
      </x:c>
      <x:c r="I132" s="9" t="n">
        <x:v>0.8332291279161068</x:v>
      </x:c>
      <x:c r="J132" s="9" t="n">
        <x:v>0.33322381782482935</x:v>
      </x:c>
      <x:c r="K132" s="9" t="n">
        <x:v>0.37482676616505795</x:v>
      </x:c>
      <x:c r="L132" s="9" t="n">
        <x:v>0.23076923076923078</x:v>
      </x:c>
      <x:c r="M132" s="6" t="n">
        <x:v>3</x:v>
      </x:c>
      <x:c r="N132" s="6" t="n">
        <x:v>5</x:v>
      </x:c>
      <x:c r="O132" s="6" t="n">
        <x:v>10</x:v>
      </x:c>
      <x:c r="P132" s="6" t="n">
        <x:v>13</x:v>
      </x:c>
      <x:c r="Q132" s="6" t="n">
        <x:v>8</x:v>
      </x:c>
      <x:c r="R132" s="6" t="n">
        <x:v>5</x:v>
      </x:c>
      <x:c r="S132" s="6" t="n">
        <x:v>5</x:v>
      </x:c>
      <x:c r="T132" s="6" t="n">
        <x:v>0</x:v>
      </x:c>
      <x:c r="U132" s="8" t="n">
        <x:v>36526</x:v>
      </x:c>
      <x:c r="V132" s="8" t="n">
        <x:v>38718</x:v>
      </x:c>
      <x:c r="W132" s="8" t="n">
        <x:v>38718</x:v>
      </x:c>
      <x:c r="X132" s="8" t="n">
        <x:v>39083</x:v>
      </x:c>
      <x:c r="Y132" s="8" t="n">
        <x:v>39448</x:v>
      </x:c>
      <x:c r="Z132" s="8" t="n">
        <x:v>39814</x:v>
      </x:c>
      <x:c r="AA132" s="6" t="str">
        <x:v>[start,end)</x:v>
      </x:c>
      <x:c r="AB132" s="10" t="n">
        <x:v>13914.798</x:v>
      </x:c>
      <x:c r="AC132" s="10" t="n">
        <x:v>30121420.863</x:v>
      </x:c>
      <x:c r="AD132" s="9" t="n">
        <x:v>0.0004619568931787388</x:v>
      </x:c>
      <x:c r="AE132" s="9" t="n">
        <x:v>0.013661215146113336</x:v>
      </x:c>
      <x:c r="AF132" s="9" t="n">
        <x:v>1</x:v>
      </x:c>
      <x:c r="AG132" s="6" t="str">
        <x:v>esa-ew-id-duration-v1</x:v>
      </x:c>
      <x:c r="AH132" s="6" t="str">
        <x:v>Real prepared telemetry + real annotations</x:v>
      </x:c>
      <x:c r="AI132" s="6" t="str">
        <x:v>5-epoch matched pair. Real native observation age/availability. Not the 40-epoch baseline.</x:v>
      </x:c>
      <x:c r="AJ132" s="6" t="str">
        <x:v>S090</x:v>
      </x:c>
    </x:row>
    <x:row r="133" ht="43" customHeight="1">
      <x:c r="A133" s="6" t="str">
        <x:v>R132</x:v>
      </x:c>
      <x:c r="B133" s="6" t="str">
        <x:v>Timing comparison</x:v>
      </x:c>
      <x:c r="C133" s="6" t="str">
        <x:v>Observation-age context</x:v>
      </x:c>
      <x:c r="D133" s="6" t="str">
        <x:v>full_period_seed42_v1</x:v>
      </x:c>
      <x:c r="E133" s="6" t="n">
        <x:v>42</x:v>
      </x:c>
      <x:c r="F133" s="6" t="str">
        <x:v>40, 41, 42, 43, 44, 45, 46, 47</x:v>
      </x:c>
      <x:c r="G133" s="6" t="str">
        <x:v>2008</x:v>
      </x:c>
      <x:c r="H133" s="6" t="str">
        <x:v>input_channels_40_47</x:v>
      </x:c>
      <x:c r="I133" s="9" t="n">
        <x:v>0.8332291279161068</x:v>
      </x:c>
      <x:c r="J133" s="9" t="n">
        <x:v>0.3657217359925527</x:v>
      </x:c>
      <x:c r="K133" s="9" t="n">
        <x:v>0.37482676616505795</x:v>
      </x:c>
      <x:c r="L133" s="9" t="n">
        <x:v>0.3333333333333333</x:v>
      </x:c>
      <x:c r="M133" s="6" t="n">
        <x:v>3</x:v>
      </x:c>
      <x:c r="N133" s="6" t="n">
        <x:v>5</x:v>
      </x:c>
      <x:c r="O133" s="6" t="n">
        <x:v>6</x:v>
      </x:c>
      <x:c r="P133" s="6" t="n">
        <x:v>9</x:v>
      </x:c>
      <x:c r="Q133" s="6" t="n">
        <x:v>8</x:v>
      </x:c>
      <x:c r="R133" s="6" t="n">
        <x:v>5</x:v>
      </x:c>
      <x:c r="S133" s="6" t="n">
        <x:v>5</x:v>
      </x:c>
      <x:c r="T133" s="6" t="n">
        <x:v>0</x:v>
      </x:c>
      <x:c r="U133" s="8" t="n">
        <x:v>36526</x:v>
      </x:c>
      <x:c r="V133" s="8" t="n">
        <x:v>38718</x:v>
      </x:c>
      <x:c r="W133" s="8" t="n">
        <x:v>38718</x:v>
      </x:c>
      <x:c r="X133" s="8" t="n">
        <x:v>39083</x:v>
      </x:c>
      <x:c r="Y133" s="8" t="n">
        <x:v>39448</x:v>
      </x:c>
      <x:c r="Z133" s="8" t="n">
        <x:v>39814</x:v>
      </x:c>
      <x:c r="AA133" s="6" t="str">
        <x:v>[start,end)</x:v>
      </x:c>
      <x:c r="AB133" s="10" t="n">
        <x:v>13914.798</x:v>
      </x:c>
      <x:c r="AC133" s="10" t="n">
        <x:v>30121420.863</x:v>
      </x:c>
      <x:c r="AD133" s="9" t="n">
        <x:v>0.0004619568931787388</x:v>
      </x:c>
      <x:c r="AE133" s="9" t="n">
        <x:v>0.013661215146113336</x:v>
      </x:c>
      <x:c r="AF133" s="9" t="n">
        <x:v>1</x:v>
      </x:c>
      <x:c r="AG133" s="6" t="str">
        <x:v>esa-ew-id-duration-v1</x:v>
      </x:c>
      <x:c r="AH133" s="6" t="str">
        <x:v>Real prepared telemetry + real annotations</x:v>
      </x:c>
      <x:c r="AI133" s="6" t="str">
        <x:v>5-epoch matched pair. Real native observation age/availability. Not the 40-epoch baseline.</x:v>
      </x:c>
      <x:c r="AJ133" s="6" t="str">
        <x:v>S090</x:v>
      </x:c>
    </x:row>
    <x:row r="134" ht="43" customHeight="1">
      <x:c r="A134" s="6" t="str">
        <x:v>R133</x:v>
      </x:c>
      <x:c r="B134" s="6" t="str">
        <x:v>Timing comparison</x:v>
      </x:c>
      <x:c r="C134" s="6" t="str">
        <x:v>Observation-age context</x:v>
      </x:c>
      <x:c r="D134" s="6" t="str">
        <x:v>full_period_seed42_v1</x:v>
      </x:c>
      <x:c r="E134" s="6" t="n">
        <x:v>42</x:v>
      </x:c>
      <x:c r="F134" s="6" t="str">
        <x:v>40, 41, 42, 43, 44, 45, 46, 47</x:v>
      </x:c>
      <x:c r="G134" s="6" t="str">
        <x:v>2009</x:v>
      </x:c>
      <x:c r="H134" s="6" t="str">
        <x:v>system_all_channels</x:v>
      </x:c>
      <x:c r="I134" s="9" t="n">
        <x:v>0.8332291279161068</x:v>
      </x:c>
      <x:c r="J134" s="9" t="n">
        <x:v>0.6942470776291796</x:v>
      </x:c>
      <x:c r="K134" s="9" t="n">
        <x:v>0.8329781235426268</x:v>
      </x:c>
      <x:c r="L134" s="9" t="n">
        <x:v>0.4166666666666667</x:v>
      </x:c>
      <x:c r="M134" s="6" t="n">
        <x:v>5</x:v>
      </x:c>
      <x:c r="N134" s="6" t="n">
        <x:v>1</x:v>
      </x:c>
      <x:c r="O134" s="6" t="n">
        <x:v>7</x:v>
      </x:c>
      <x:c r="P134" s="6" t="n">
        <x:v>12</x:v>
      </x:c>
      <x:c r="Q134" s="6" t="n">
        <x:v>7</x:v>
      </x:c>
      <x:c r="R134" s="6" t="n">
        <x:v>5</x:v>
      </x:c>
      <x:c r="S134" s="6" t="n">
        <x:v>5</x:v>
      </x:c>
      <x:c r="T134" s="6" t="n">
        <x:v>0</x:v>
      </x:c>
      <x:c r="U134" s="8" t="n">
        <x:v>36526</x:v>
      </x:c>
      <x:c r="V134" s="8" t="n">
        <x:v>38718</x:v>
      </x:c>
      <x:c r="W134" s="8" t="n">
        <x:v>38718</x:v>
      </x:c>
      <x:c r="X134" s="8" t="n">
        <x:v>39083</x:v>
      </x:c>
      <x:c r="Y134" s="8" t="n">
        <x:v>39814</x:v>
      </x:c>
      <x:c r="Z134" s="8" t="n">
        <x:v>40179</x:v>
      </x:c>
      <x:c r="AA134" s="6" t="str">
        <x:v>[start,end)</x:v>
      </x:c>
      <x:c r="AB134" s="10" t="n">
        <x:v>10778.244</x:v>
      </x:c>
      <x:c r="AC134" s="10" t="n">
        <x:v>25286099.187</x:v>
      </x:c>
      <x:c r="AD134" s="9" t="n">
        <x:v>0.0004262517488479167</x:v>
      </x:c>
      <x:c r="AE134" s="9" t="n">
        <x:v>0.0027397286336840122</x:v>
      </x:c>
      <x:c r="AF134" s="9" t="n">
        <x:v>0.7142857142857143</x:v>
      </x:c>
      <x:c r="AG134" s="6" t="str">
        <x:v>esa-ew-id-duration-v1</x:v>
      </x:c>
      <x:c r="AH134" s="6" t="str">
        <x:v>Real prepared telemetry + real annotations</x:v>
      </x:c>
      <x:c r="AI134" s="6" t="str">
        <x:v>5-epoch matched pair. Real native observation age/availability. Not the 40-epoch baseline.</x:v>
      </x:c>
      <x:c r="AJ134" s="6" t="str">
        <x:v>S090</x:v>
      </x:c>
    </x:row>
    <x:row r="135" ht="43" customHeight="1">
      <x:c r="A135" s="6" t="str">
        <x:v>R134</x:v>
      </x:c>
      <x:c r="B135" s="6" t="str">
        <x:v>Timing comparison</x:v>
      </x:c>
      <x:c r="C135" s="6" t="str">
        <x:v>Observation-age context</x:v>
      </x:c>
      <x:c r="D135" s="6" t="str">
        <x:v>full_period_seed42_v1</x:v>
      </x:c>
      <x:c r="E135" s="6" t="n">
        <x:v>42</x:v>
      </x:c>
      <x:c r="F135" s="6" t="str">
        <x:v>40, 41, 42, 43, 44, 45, 46, 47</x:v>
      </x:c>
      <x:c r="G135" s="6" t="str">
        <x:v>2009</x:v>
      </x:c>
      <x:c r="H135" s="6" t="str">
        <x:v>input_channels_40_47</x:v>
      </x:c>
      <x:c r="I135" s="9" t="n">
        <x:v>0.8332291279161068</x:v>
      </x:c>
      <x:c r="J135" s="9" t="n">
        <x:v>0.7350728519754605</x:v>
      </x:c>
      <x:c r="K135" s="9" t="n">
        <x:v>0.8329781235426268</x:v>
      </x:c>
      <x:c r="L135" s="9" t="n">
        <x:v>0.5</x:v>
      </x:c>
      <x:c r="M135" s="6" t="n">
        <x:v>5</x:v>
      </x:c>
      <x:c r="N135" s="6" t="n">
        <x:v>1</x:v>
      </x:c>
      <x:c r="O135" s="6" t="n">
        <x:v>5</x:v>
      </x:c>
      <x:c r="P135" s="6" t="n">
        <x:v>10</x:v>
      </x:c>
      <x:c r="Q135" s="6" t="n">
        <x:v>7</x:v>
      </x:c>
      <x:c r="R135" s="6" t="n">
        <x:v>5</x:v>
      </x:c>
      <x:c r="S135" s="6" t="n">
        <x:v>5</x:v>
      </x:c>
      <x:c r="T135" s="6" t="n">
        <x:v>0</x:v>
      </x:c>
      <x:c r="U135" s="8" t="n">
        <x:v>36526</x:v>
      </x:c>
      <x:c r="V135" s="8" t="n">
        <x:v>38718</x:v>
      </x:c>
      <x:c r="W135" s="8" t="n">
        <x:v>38718</x:v>
      </x:c>
      <x:c r="X135" s="8" t="n">
        <x:v>39083</x:v>
      </x:c>
      <x:c r="Y135" s="8" t="n">
        <x:v>39814</x:v>
      </x:c>
      <x:c r="Z135" s="8" t="n">
        <x:v>40179</x:v>
      </x:c>
      <x:c r="AA135" s="6" t="str">
        <x:v>[start,end)</x:v>
      </x:c>
      <x:c r="AB135" s="10" t="n">
        <x:v>10778.244</x:v>
      </x:c>
      <x:c r="AC135" s="10" t="n">
        <x:v>25286099.187</x:v>
      </x:c>
      <x:c r="AD135" s="9" t="n">
        <x:v>0.0004262517488479167</x:v>
      </x:c>
      <x:c r="AE135" s="9" t="n">
        <x:v>0.0027397286336840122</x:v>
      </x:c>
      <x:c r="AF135" s="9" t="n">
        <x:v>0.7142857142857143</x:v>
      </x:c>
      <x:c r="AG135" s="6" t="str">
        <x:v>esa-ew-id-duration-v1</x:v>
      </x:c>
      <x:c r="AH135" s="6" t="str">
        <x:v>Real prepared telemetry + real annotations</x:v>
      </x:c>
      <x:c r="AI135" s="6" t="str">
        <x:v>5-epoch matched pair. Real native observation age/availability. Not the 40-epoch baseline.</x:v>
      </x:c>
      <x:c r="AJ135" s="6" t="str">
        <x:v>S090</x:v>
      </x:c>
    </x:row>
    <x:row r="136" ht="43" customHeight="1">
      <x:c r="A136" s="6" t="str">
        <x:v>R135</x:v>
      </x:c>
      <x:c r="B136" s="6" t="str">
        <x:v>Timing comparison</x:v>
      </x:c>
      <x:c r="C136" s="6" t="str">
        <x:v>Observation-age context</x:v>
      </x:c>
      <x:c r="D136" s="6" t="str">
        <x:v>full_period_seed42_v1</x:v>
      </x:c>
      <x:c r="E136" s="6" t="n">
        <x:v>42</x:v>
      </x:c>
      <x:c r="F136" s="6" t="str">
        <x:v>40, 41, 42, 43, 44, 45, 46, 47</x:v>
      </x:c>
      <x:c r="G136" s="6" t="str">
        <x:v>2010</x:v>
      </x:c>
      <x:c r="H136" s="6" t="str">
        <x:v>system_all_channels</x:v>
      </x:c>
      <x:c r="I136" s="9" t="n">
        <x:v>0.8332291279161068</x:v>
      </x:c>
      <x:c r="J136" s="9" t="n">
        <x:v>0.6249297154373527</x:v>
      </x:c>
      <x:c r="K136" s="9" t="n">
        <x:v>0.9997751146890735</x:v>
      </x:c>
      <x:c r="L136" s="9" t="n">
        <x:v>0.25</x:v>
      </x:c>
      <x:c r="M136" s="6" t="n">
        <x:v>3</x:v>
      </x:c>
      <x:c r="N136" s="6" t="n">
        <x:v>0</x:v>
      </x:c>
      <x:c r="O136" s="6" t="n">
        <x:v>9</x:v>
      </x:c>
      <x:c r="P136" s="6" t="n">
        <x:v>12</x:v>
      </x:c>
      <x:c r="Q136" s="6" t="n">
        <x:v>3</x:v>
      </x:c>
      <x:c r="R136" s="6" t="n">
        <x:v>5</x:v>
      </x:c>
      <x:c r="S136" s="6" t="n">
        <x:v>5</x:v>
      </x:c>
      <x:c r="T136" s="6" t="n">
        <x:v>0</x:v>
      </x:c>
      <x:c r="U136" s="8" t="n">
        <x:v>36526</x:v>
      </x:c>
      <x:c r="V136" s="8" t="n">
        <x:v>38718</x:v>
      </x:c>
      <x:c r="W136" s="8" t="n">
        <x:v>38718</x:v>
      </x:c>
      <x:c r="X136" s="8" t="n">
        <x:v>39083</x:v>
      </x:c>
      <x:c r="Y136" s="8" t="n">
        <x:v>40179</x:v>
      </x:c>
      <x:c r="Z136" s="8" t="n">
        <x:v>40544</x:v>
      </x:c>
      <x:c r="AA136" s="6" t="str">
        <x:v>[start,end)</x:v>
      </x:c>
      <x:c r="AB136" s="10" t="n">
        <x:v>6462.495</x:v>
      </x:c>
      <x:c r="AC136" s="10" t="n">
        <x:v>28736848.011</x:v>
      </x:c>
      <x:c r="AD136" s="9" t="n">
        <x:v>0.00022488531092645925</x:v>
      </x:c>
      <x:c r="AE136" s="9" t="n">
        <x:v>0</x:v>
      </x:c>
      <x:c r="AF136" s="9" t="n">
        <x:v>1</x:v>
      </x:c>
      <x:c r="AG136" s="6" t="str">
        <x:v>esa-ew-id-duration-v1</x:v>
      </x:c>
      <x:c r="AH136" s="6" t="str">
        <x:v>Real prepared telemetry + real annotations</x:v>
      </x:c>
      <x:c r="AI136" s="6" t="str">
        <x:v>5-epoch matched pair. Real native observation age/availability. Not the 40-epoch baseline.</x:v>
      </x:c>
      <x:c r="AJ136" s="6" t="str">
        <x:v>S090</x:v>
      </x:c>
    </x:row>
    <x:row r="137" ht="43" customHeight="1">
      <x:c r="A137" s="6" t="str">
        <x:v>R136</x:v>
      </x:c>
      <x:c r="B137" s="6" t="str">
        <x:v>Timing comparison</x:v>
      </x:c>
      <x:c r="C137" s="6" t="str">
        <x:v>Observation-age context</x:v>
      </x:c>
      <x:c r="D137" s="6" t="str">
        <x:v>full_period_seed42_v1</x:v>
      </x:c>
      <x:c r="E137" s="6" t="n">
        <x:v>42</x:v>
      </x:c>
      <x:c r="F137" s="6" t="str">
        <x:v>40, 41, 42, 43, 44, 45, 46, 47</x:v>
      </x:c>
      <x:c r="G137" s="6" t="str">
        <x:v>2010</x:v>
      </x:c>
      <x:c r="H137" s="6" t="str">
        <x:v>input_channels_40_47</x:v>
      </x:c>
      <x:c r="I137" s="9" t="n">
        <x:v>0.8332291279161068</x:v>
      </x:c>
      <x:c r="J137" s="9" t="n">
        <x:v>0.7498987925060516</x:v>
      </x:c>
      <x:c r="K137" s="9" t="n">
        <x:v>0.9997751146890735</x:v>
      </x:c>
      <x:c r="L137" s="9" t="n">
        <x:v>0.375</x:v>
      </x:c>
      <x:c r="M137" s="6" t="n">
        <x:v>3</x:v>
      </x:c>
      <x:c r="N137" s="6" t="n">
        <x:v>0</x:v>
      </x:c>
      <x:c r="O137" s="6" t="n">
        <x:v>5</x:v>
      </x:c>
      <x:c r="P137" s="6" t="n">
        <x:v>8</x:v>
      </x:c>
      <x:c r="Q137" s="6" t="n">
        <x:v>3</x:v>
      </x:c>
      <x:c r="R137" s="6" t="n">
        <x:v>5</x:v>
      </x:c>
      <x:c r="S137" s="6" t="n">
        <x:v>5</x:v>
      </x:c>
      <x:c r="T137" s="6" t="n">
        <x:v>0</x:v>
      </x:c>
      <x:c r="U137" s="8" t="n">
        <x:v>36526</x:v>
      </x:c>
      <x:c r="V137" s="8" t="n">
        <x:v>38718</x:v>
      </x:c>
      <x:c r="W137" s="8" t="n">
        <x:v>38718</x:v>
      </x:c>
      <x:c r="X137" s="8" t="n">
        <x:v>39083</x:v>
      </x:c>
      <x:c r="Y137" s="8" t="n">
        <x:v>40179</x:v>
      </x:c>
      <x:c r="Z137" s="8" t="n">
        <x:v>40544</x:v>
      </x:c>
      <x:c r="AA137" s="6" t="str">
        <x:v>[start,end)</x:v>
      </x:c>
      <x:c r="AB137" s="10" t="n">
        <x:v>6462.495</x:v>
      </x:c>
      <x:c r="AC137" s="10" t="n">
        <x:v>28736848.011</x:v>
      </x:c>
      <x:c r="AD137" s="9" t="n">
        <x:v>0.00022488531092645925</x:v>
      </x:c>
      <x:c r="AE137" s="9" t="n">
        <x:v>0</x:v>
      </x:c>
      <x:c r="AF137" s="9" t="n">
        <x:v>1</x:v>
      </x:c>
      <x:c r="AG137" s="6" t="str">
        <x:v>esa-ew-id-duration-v1</x:v>
      </x:c>
      <x:c r="AH137" s="6" t="str">
        <x:v>Real prepared telemetry + real annotations</x:v>
      </x:c>
      <x:c r="AI137" s="6" t="str">
        <x:v>5-epoch matched pair. Real native observation age/availability. Not the 40-epoch baseline.</x:v>
      </x:c>
      <x:c r="AJ137" s="6" t="str">
        <x:v>S090</x:v>
      </x:c>
    </x:row>
    <x:row r="138" ht="43" customHeight="1">
      <x:c r="A138" s="6" t="str">
        <x:v>R137</x:v>
      </x:c>
      <x:c r="B138" s="6" t="str">
        <x:v>Timing comparison</x:v>
      </x:c>
      <x:c r="C138" s="6" t="str">
        <x:v>Observation-age context</x:v>
      </x:c>
      <x:c r="D138" s="6" t="str">
        <x:v>full_period_seed42_v1</x:v>
      </x:c>
      <x:c r="E138" s="6" t="n">
        <x:v>42</x:v>
      </x:c>
      <x:c r="F138" s="6" t="str">
        <x:v>40, 41, 42, 43, 44, 45, 46, 47</x:v>
      </x:c>
      <x:c r="G138" s="6" t="str">
        <x:v>2011</x:v>
      </x:c>
      <x:c r="H138" s="6" t="str">
        <x:v>system_all_channels</x:v>
      </x:c>
      <x:c r="I138" s="9" t="n">
        <x:v>0.8332291279161068</x:v>
      </x:c>
      <x:c r="J138" s="9" t="n">
        <x:v>0.7691528400668309</x:v>
      </x:c>
      <x:c r="K138" s="9" t="n">
        <x:v>0.9998353850641776</x:v>
      </x:c>
      <x:c r="L138" s="9" t="n">
        <x:v>0.4</x:v>
      </x:c>
      <x:c r="M138" s="6" t="n">
        <x:v>6</x:v>
      </x:c>
      <x:c r="N138" s="6" t="n">
        <x:v>0</x:v>
      </x:c>
      <x:c r="O138" s="6" t="n">
        <x:v>9</x:v>
      </x:c>
      <x:c r="P138" s="6" t="n">
        <x:v>15</x:v>
      </x:c>
      <x:c r="Q138" s="6" t="n">
        <x:v>7</x:v>
      </x:c>
      <x:c r="R138" s="6" t="n">
        <x:v>5</x:v>
      </x:c>
      <x:c r="S138" s="6" t="n">
        <x:v>5</x:v>
      </x:c>
      <x:c r="T138" s="6" t="n">
        <x:v>0</x:v>
      </x:c>
      <x:c r="U138" s="8" t="n">
        <x:v>36526</x:v>
      </x:c>
      <x:c r="V138" s="8" t="n">
        <x:v>38718</x:v>
      </x:c>
      <x:c r="W138" s="8" t="n">
        <x:v>38718</x:v>
      </x:c>
      <x:c r="X138" s="8" t="n">
        <x:v>39083</x:v>
      </x:c>
      <x:c r="Y138" s="8" t="n">
        <x:v>40544</x:v>
      </x:c>
      <x:c r="Z138" s="8" t="n">
        <x:v>40909</x:v>
      </x:c>
      <x:c r="AA138" s="6" t="str">
        <x:v>[start,end)</x:v>
      </x:c>
      <x:c r="AB138" s="10" t="n">
        <x:v>4586.778</x:v>
      </x:c>
      <x:c r="AC138" s="10" t="n">
        <x:v>27863680.638</x:v>
      </x:c>
      <x:c r="AD138" s="9" t="n">
        <x:v>0.00016461493582242692</x:v>
      </x:c>
      <x:c r="AE138" s="9" t="n">
        <x:v>0</x:v>
      </x:c>
      <x:c r="AF138" s="9" t="n">
        <x:v>0.8571428571428571</x:v>
      </x:c>
      <x:c r="AG138" s="6" t="str">
        <x:v>esa-ew-id-duration-v1</x:v>
      </x:c>
      <x:c r="AH138" s="6" t="str">
        <x:v>Real prepared telemetry + real annotations</x:v>
      </x:c>
      <x:c r="AI138" s="6" t="str">
        <x:v>5-epoch matched pair. Real native observation age/availability. Not the 40-epoch baseline.</x:v>
      </x:c>
      <x:c r="AJ138" s="6" t="str">
        <x:v>S090</x:v>
      </x:c>
    </x:row>
    <x:row r="139" ht="43" customHeight="1">
      <x:c r="A139" s="6" t="str">
        <x:v>R138</x:v>
      </x:c>
      <x:c r="B139" s="6" t="str">
        <x:v>Timing comparison</x:v>
      </x:c>
      <x:c r="C139" s="6" t="str">
        <x:v>Observation-age context</x:v>
      </x:c>
      <x:c r="D139" s="6" t="str">
        <x:v>full_period_seed42_v1</x:v>
      </x:c>
      <x:c r="E139" s="6" t="n">
        <x:v>42</x:v>
      </x:c>
      <x:c r="F139" s="6" t="str">
        <x:v>40, 41, 42, 43, 44, 45, 46, 47</x:v>
      </x:c>
      <x:c r="G139" s="6" t="str">
        <x:v>2011</x:v>
      </x:c>
      <x:c r="H139" s="6" t="str">
        <x:v>input_channels_40_47</x:v>
      </x:c>
      <x:c r="I139" s="9" t="n">
        <x:v>0.8332291279161068</x:v>
      </x:c>
      <x:c r="J139" s="9" t="n">
        <x:v>0.8570460988685574</x:v>
      </x:c>
      <x:c r="K139" s="9" t="n">
        <x:v>0.9998353850641776</x:v>
      </x:c>
      <x:c r="L139" s="9" t="n">
        <x:v>0.5454545454545454</x:v>
      </x:c>
      <x:c r="M139" s="6" t="n">
        <x:v>6</x:v>
      </x:c>
      <x:c r="N139" s="6" t="n">
        <x:v>0</x:v>
      </x:c>
      <x:c r="O139" s="6" t="n">
        <x:v>5</x:v>
      </x:c>
      <x:c r="P139" s="6" t="n">
        <x:v>11</x:v>
      </x:c>
      <x:c r="Q139" s="6" t="n">
        <x:v>7</x:v>
      </x:c>
      <x:c r="R139" s="6" t="n">
        <x:v>5</x:v>
      </x:c>
      <x:c r="S139" s="6" t="n">
        <x:v>5</x:v>
      </x:c>
      <x:c r="T139" s="6" t="n">
        <x:v>0</x:v>
      </x:c>
      <x:c r="U139" s="8" t="n">
        <x:v>36526</x:v>
      </x:c>
      <x:c r="V139" s="8" t="n">
        <x:v>38718</x:v>
      </x:c>
      <x:c r="W139" s="8" t="n">
        <x:v>38718</x:v>
      </x:c>
      <x:c r="X139" s="8" t="n">
        <x:v>39083</x:v>
      </x:c>
      <x:c r="Y139" s="8" t="n">
        <x:v>40544</x:v>
      </x:c>
      <x:c r="Z139" s="8" t="n">
        <x:v>40909</x:v>
      </x:c>
      <x:c r="AA139" s="6" t="str">
        <x:v>[start,end)</x:v>
      </x:c>
      <x:c r="AB139" s="10" t="n">
        <x:v>4586.778</x:v>
      </x:c>
      <x:c r="AC139" s="10" t="n">
        <x:v>27863680.638</x:v>
      </x:c>
      <x:c r="AD139" s="9" t="n">
        <x:v>0.00016461493582242692</x:v>
      </x:c>
      <x:c r="AE139" s="9" t="n">
        <x:v>0</x:v>
      </x:c>
      <x:c r="AF139" s="9" t="n">
        <x:v>0.8571428571428571</x:v>
      </x:c>
      <x:c r="AG139" s="6" t="str">
        <x:v>esa-ew-id-duration-v1</x:v>
      </x:c>
      <x:c r="AH139" s="6" t="str">
        <x:v>Real prepared telemetry + real annotations</x:v>
      </x:c>
      <x:c r="AI139" s="6" t="str">
        <x:v>5-epoch matched pair. Real native observation age/availability. Not the 40-epoch baseline.</x:v>
      </x:c>
      <x:c r="AJ139" s="6" t="str">
        <x:v>S090</x:v>
      </x:c>
    </x:row>
    <x:row r="140" ht="43" customHeight="1">
      <x:c r="A140" s="6" t="str">
        <x:v>R139</x:v>
      </x:c>
      <x:c r="B140" s="6" t="str">
        <x:v>Timing comparison</x:v>
      </x:c>
      <x:c r="C140" s="6" t="str">
        <x:v>Observation-age context</x:v>
      </x:c>
      <x:c r="D140" s="6" t="str">
        <x:v>full_period_seed42_v1</x:v>
      </x:c>
      <x:c r="E140" s="6" t="n">
        <x:v>42</x:v>
      </x:c>
      <x:c r="F140" s="6" t="str">
        <x:v>40, 41, 42, 43, 44, 45, 46, 47</x:v>
      </x:c>
      <x:c r="G140" s="6" t="str">
        <x:v>2012</x:v>
      </x:c>
      <x:c r="H140" s="6" t="str">
        <x:v>system_all_channels</x:v>
      </x:c>
      <x:c r="I140" s="9" t="n">
        <x:v>0.8332291279161068</x:v>
      </x:c>
      <x:c r="J140" s="9" t="n">
        <x:v>0.2777647086948738</x:v>
      </x:c>
      <x:c r="K140" s="9" t="n">
        <x:v>0.49994707332690275</x:v>
      </x:c>
      <x:c r="L140" s="9" t="n">
        <x:v>0.1</x:v>
      </x:c>
      <x:c r="M140" s="6" t="n">
        <x:v>1</x:v>
      </x:c>
      <x:c r="N140" s="6" t="n">
        <x:v>1</x:v>
      </x:c>
      <x:c r="O140" s="6" t="n">
        <x:v>9</x:v>
      </x:c>
      <x:c r="P140" s="6" t="n">
        <x:v>10</x:v>
      </x:c>
      <x:c r="Q140" s="6" t="n">
        <x:v>2</x:v>
      </x:c>
      <x:c r="R140" s="6" t="n">
        <x:v>5</x:v>
      </x:c>
      <x:c r="S140" s="6" t="n">
        <x:v>5</x:v>
      </x:c>
      <x:c r="T140" s="6" t="n">
        <x:v>0</x:v>
      </x:c>
      <x:c r="U140" s="8" t="n">
        <x:v>36526</x:v>
      </x:c>
      <x:c r="V140" s="8" t="n">
        <x:v>38718</x:v>
      </x:c>
      <x:c r="W140" s="8" t="n">
        <x:v>38718</x:v>
      </x:c>
      <x:c r="X140" s="8" t="n">
        <x:v>39083</x:v>
      </x:c>
      <x:c r="Y140" s="8" t="n">
        <x:v>40909</x:v>
      </x:c>
      <x:c r="Z140" s="8" t="n">
        <x:v>41275</x:v>
      </x:c>
      <x:c r="AA140" s="6" t="str">
        <x:v>[start,end)</x:v>
      </x:c>
      <x:c r="AB140" s="10" t="n">
        <x:v>3137.088</x:v>
      </x:c>
      <x:c r="AC140" s="10" t="n">
        <x:v>29636172.24</x:v>
      </x:c>
      <x:c r="AD140" s="9" t="n">
        <x:v>0.00010585334619450659</x:v>
      </x:c>
      <x:c r="AE140" s="9" t="n">
        <x:v>0.0027322430292226673</x:v>
      </x:c>
      <x:c r="AF140" s="9" t="n">
        <x:v>1</x:v>
      </x:c>
      <x:c r="AG140" s="6" t="str">
        <x:v>esa-ew-id-duration-v1</x:v>
      </x:c>
      <x:c r="AH140" s="6" t="str">
        <x:v>Real prepared telemetry + real annotations</x:v>
      </x:c>
      <x:c r="AI140" s="6" t="str">
        <x:v>5-epoch matched pair. Real native observation age/availability. Not the 40-epoch baseline.</x:v>
      </x:c>
      <x:c r="AJ140" s="6" t="str">
        <x:v>S090</x:v>
      </x:c>
    </x:row>
    <x:row r="141" ht="43" customHeight="1">
      <x:c r="A141" s="6" t="str">
        <x:v>R140</x:v>
      </x:c>
      <x:c r="B141" s="6" t="str">
        <x:v>Timing comparison</x:v>
      </x:c>
      <x:c r="C141" s="6" t="str">
        <x:v>Observation-age context</x:v>
      </x:c>
      <x:c r="D141" s="6" t="str">
        <x:v>full_period_seed42_v1</x:v>
      </x:c>
      <x:c r="E141" s="6" t="n">
        <x:v>42</x:v>
      </x:c>
      <x:c r="F141" s="6" t="str">
        <x:v>40, 41, 42, 43, 44, 45, 46, 47</x:v>
      </x:c>
      <x:c r="G141" s="6" t="str">
        <x:v>2012</x:v>
      </x:c>
      <x:c r="H141" s="6" t="str">
        <x:v>input_channels_40_47</x:v>
      </x:c>
      <x:c r="I141" s="9" t="n">
        <x:v>0.8332291279161068</x:v>
      </x:c>
      <x:c r="J141" s="9" t="n">
        <x:v>0.31248345953922557</x:v>
      </x:c>
      <x:c r="K141" s="9" t="n">
        <x:v>0.49994707332690275</x:v>
      </x:c>
      <x:c r="L141" s="9" t="n">
        <x:v>0.125</x:v>
      </x:c>
      <x:c r="M141" s="6" t="n">
        <x:v>1</x:v>
      </x:c>
      <x:c r="N141" s="6" t="n">
        <x:v>1</x:v>
      </x:c>
      <x:c r="O141" s="6" t="n">
        <x:v>7</x:v>
      </x:c>
      <x:c r="P141" s="6" t="n">
        <x:v>8</x:v>
      </x:c>
      <x:c r="Q141" s="6" t="n">
        <x:v>2</x:v>
      </x:c>
      <x:c r="R141" s="6" t="n">
        <x:v>5</x:v>
      </x:c>
      <x:c r="S141" s="6" t="n">
        <x:v>5</x:v>
      </x:c>
      <x:c r="T141" s="6" t="n">
        <x:v>0</x:v>
      </x:c>
      <x:c r="U141" s="8" t="n">
        <x:v>36526</x:v>
      </x:c>
      <x:c r="V141" s="8" t="n">
        <x:v>38718</x:v>
      </x:c>
      <x:c r="W141" s="8" t="n">
        <x:v>38718</x:v>
      </x:c>
      <x:c r="X141" s="8" t="n">
        <x:v>39083</x:v>
      </x:c>
      <x:c r="Y141" s="8" t="n">
        <x:v>40909</x:v>
      </x:c>
      <x:c r="Z141" s="8" t="n">
        <x:v>41275</x:v>
      </x:c>
      <x:c r="AA141" s="6" t="str">
        <x:v>[start,end)</x:v>
      </x:c>
      <x:c r="AB141" s="10" t="n">
        <x:v>3137.088</x:v>
      </x:c>
      <x:c r="AC141" s="10" t="n">
        <x:v>29636172.24</x:v>
      </x:c>
      <x:c r="AD141" s="9" t="n">
        <x:v>0.00010585334619450659</x:v>
      </x:c>
      <x:c r="AE141" s="9" t="n">
        <x:v>0.0027322430292226673</x:v>
      </x:c>
      <x:c r="AF141" s="9" t="n">
        <x:v>1</x:v>
      </x:c>
      <x:c r="AG141" s="6" t="str">
        <x:v>esa-ew-id-duration-v1</x:v>
      </x:c>
      <x:c r="AH141" s="6" t="str">
        <x:v>Real prepared telemetry + real annotations</x:v>
      </x:c>
      <x:c r="AI141" s="6" t="str">
        <x:v>5-epoch matched pair. Real native observation age/availability. Not the 40-epoch baseline.</x:v>
      </x:c>
      <x:c r="AJ141" s="6" t="str">
        <x:v>S090</x:v>
      </x:c>
    </x:row>
    <x:row r="142" ht="43" customHeight="1">
      <x:c r="A142" s="6" t="str">
        <x:v>R141</x:v>
      </x:c>
      <x:c r="B142" s="6" t="str">
        <x:v>Timing comparison</x:v>
      </x:c>
      <x:c r="C142" s="6" t="str">
        <x:v>Observation-age context</x:v>
      </x:c>
      <x:c r="D142" s="6" t="str">
        <x:v>full_period_seed42_v1</x:v>
      </x:c>
      <x:c r="E142" s="6" t="n">
        <x:v>42</x:v>
      </x:c>
      <x:c r="F142" s="6" t="str">
        <x:v>40, 41, 42, 43, 44, 45, 46, 47</x:v>
      </x:c>
      <x:c r="G142" s="6" t="str">
        <x:v>2013</x:v>
      </x:c>
      <x:c r="H142" s="6" t="str">
        <x:v>system_all_channels</x:v>
      </x:c>
      <x:c r="I142" s="9" t="n">
        <x:v>0.8332291279161068</x:v>
      </x:c>
      <x:c r="J142" s="9" t="n">
        <x:v>0.5769138359009347</x:v>
      </x:c>
      <x:c r="K142" s="9" t="n">
        <x:v>0.9999652954764918</x:v>
      </x:c>
      <x:c r="L142" s="9" t="n">
        <x:v>0.21428571428571427</x:v>
      </x:c>
      <x:c r="M142" s="6" t="n">
        <x:v>3</x:v>
      </x:c>
      <x:c r="N142" s="6" t="n">
        <x:v>0</x:v>
      </x:c>
      <x:c r="O142" s="6" t="n">
        <x:v>11</x:v>
      </x:c>
      <x:c r="P142" s="6" t="n">
        <x:v>14</x:v>
      </x:c>
      <x:c r="Q142" s="6" t="n">
        <x:v>13</x:v>
      </x:c>
      <x:c r="R142" s="6" t="n">
        <x:v>5</x:v>
      </x:c>
      <x:c r="S142" s="6" t="n">
        <x:v>5</x:v>
      </x:c>
      <x:c r="T142" s="6" t="n">
        <x:v>0</x:v>
      </x:c>
      <x:c r="U142" s="8" t="n">
        <x:v>36526</x:v>
      </x:c>
      <x:c r="V142" s="8" t="n">
        <x:v>38718</x:v>
      </x:c>
      <x:c r="W142" s="8" t="n">
        <x:v>38718</x:v>
      </x:c>
      <x:c r="X142" s="8" t="n">
        <x:v>39083</x:v>
      </x:c>
      <x:c r="Y142" s="8" t="n">
        <x:v>41275</x:v>
      </x:c>
      <x:c r="Z142" s="8" t="n">
        <x:v>41640</x:v>
      </x:c>
      <x:c r="AA142" s="6" t="str">
        <x:v>[start,end)</x:v>
      </x:c>
      <x:c r="AB142" s="10" t="n">
        <x:v>939.624</x:v>
      </x:c>
      <x:c r="AC142" s="10" t="n">
        <x:v>27074971.935</x:v>
      </x:c>
      <x:c r="AD142" s="9" t="n">
        <x:v>0.000034704523508177765</x:v>
      </x:c>
      <x:c r="AE142" s="9" t="n">
        <x:v>0</x:v>
      </x:c>
      <x:c r="AF142" s="9" t="n">
        <x:v>0.23076923076923078</x:v>
      </x:c>
      <x:c r="AG142" s="6" t="str">
        <x:v>esa-ew-id-duration-v1</x:v>
      </x:c>
      <x:c r="AH142" s="6" t="str">
        <x:v>Real prepared telemetry + real annotations</x:v>
      </x:c>
      <x:c r="AI142" s="6" t="str">
        <x:v>5-epoch matched pair. Real native observation age/availability. Not the 40-epoch baseline.</x:v>
      </x:c>
      <x:c r="AJ142" s="6" t="str">
        <x:v>S090</x:v>
      </x:c>
    </x:row>
    <x:row r="143" ht="43" customHeight="1">
      <x:c r="A143" s="6" t="str">
        <x:v>R142</x:v>
      </x:c>
      <x:c r="B143" s="6" t="str">
        <x:v>Timing comparison</x:v>
      </x:c>
      <x:c r="C143" s="6" t="str">
        <x:v>Observation-age context</x:v>
      </x:c>
      <x:c r="D143" s="6" t="str">
        <x:v>full_period_seed42_v1</x:v>
      </x:c>
      <x:c r="E143" s="6" t="n">
        <x:v>42</x:v>
      </x:c>
      <x:c r="F143" s="6" t="str">
        <x:v>40, 41, 42, 43, 44, 45, 46, 47</x:v>
      </x:c>
      <x:c r="G143" s="6" t="str">
        <x:v>2013</x:v>
      </x:c>
      <x:c r="H143" s="6" t="str">
        <x:v>input_channels_40_47</x:v>
      </x:c>
      <x:c r="I143" s="9" t="n">
        <x:v>0.8332291279161068</x:v>
      </x:c>
      <x:c r="J143" s="9" t="n">
        <x:v>0.7142715489633923</x:v>
      </x:c>
      <x:c r="K143" s="9" t="n">
        <x:v>0.9999652954764918</x:v>
      </x:c>
      <x:c r="L143" s="9" t="n">
        <x:v>0.3333333333333333</x:v>
      </x:c>
      <x:c r="M143" s="6" t="n">
        <x:v>3</x:v>
      </x:c>
      <x:c r="N143" s="6" t="n">
        <x:v>0</x:v>
      </x:c>
      <x:c r="O143" s="6" t="n">
        <x:v>6</x:v>
      </x:c>
      <x:c r="P143" s="6" t="n">
        <x:v>9</x:v>
      </x:c>
      <x:c r="Q143" s="6" t="n">
        <x:v>13</x:v>
      </x:c>
      <x:c r="R143" s="6" t="n">
        <x:v>5</x:v>
      </x:c>
      <x:c r="S143" s="6" t="n">
        <x:v>5</x:v>
      </x:c>
      <x:c r="T143" s="6" t="n">
        <x:v>0</x:v>
      </x:c>
      <x:c r="U143" s="8" t="n">
        <x:v>36526</x:v>
      </x:c>
      <x:c r="V143" s="8" t="n">
        <x:v>38718</x:v>
      </x:c>
      <x:c r="W143" s="8" t="n">
        <x:v>38718</x:v>
      </x:c>
      <x:c r="X143" s="8" t="n">
        <x:v>39083</x:v>
      </x:c>
      <x:c r="Y143" s="8" t="n">
        <x:v>41275</x:v>
      </x:c>
      <x:c r="Z143" s="8" t="n">
        <x:v>41640</x:v>
      </x:c>
      <x:c r="AA143" s="6" t="str">
        <x:v>[start,end)</x:v>
      </x:c>
      <x:c r="AB143" s="10" t="n">
        <x:v>939.624</x:v>
      </x:c>
      <x:c r="AC143" s="10" t="n">
        <x:v>27074971.935</x:v>
      </x:c>
      <x:c r="AD143" s="9" t="n">
        <x:v>0.000034704523508177765</x:v>
      </x:c>
      <x:c r="AE143" s="9" t="n">
        <x:v>0</x:v>
      </x:c>
      <x:c r="AF143" s="9" t="n">
        <x:v>0.23076923076923078</x:v>
      </x:c>
      <x:c r="AG143" s="6" t="str">
        <x:v>esa-ew-id-duration-v1</x:v>
      </x:c>
      <x:c r="AH143" s="6" t="str">
        <x:v>Real prepared telemetry + real annotations</x:v>
      </x:c>
      <x:c r="AI143" s="6" t="str">
        <x:v>5-epoch matched pair. Real native observation age/availability. Not the 40-epoch baseline.</x:v>
      </x:c>
      <x:c r="AJ143" s="6" t="str">
        <x:v>S090</x:v>
      </x:c>
    </x:row>
    <x:row r="144" ht="43" customHeight="1">
      <x:c r="A144" s="6" t="str">
        <x:v>R143</x:v>
      </x:c>
      <x:c r="B144" s="6" t="str">
        <x:v>Historical scoring pair</x:v>
      </x:c>
      <x:c r="C144" s="6" t="str">
        <x:v>Window-mean scoring</x:v>
      </x:c>
      <x:c r="D144" s="6" t="str">
        <x:v>paired_v1</x:v>
      </x:c>
      <x:c r="E144" s="6" t="n">
        <x:v>42</x:v>
      </x:c>
      <x:c r="F144" s="6" t="str">
        <x:v>40, 41, 42, 43, 44, 45, 46, 47</x:v>
      </x:c>
      <x:c r="G144" s="6" t="str">
        <x:v>2007–2013 + boundary sample</x:v>
      </x:c>
      <x:c r="H144" s="6" t="str">
        <x:v>system_all_channels</x:v>
      </x:c>
      <x:c r="I144" s="9" t="n">
        <x:v>0.8821092202390165</x:v>
      </x:c>
      <x:c r="J144" s="9" t="n">
        <x:v>0.761655319383663</x:v>
      </x:c>
      <x:c r="K144" s="9" t="n">
        <x:v>0.8567482837590537</x:v>
      </x:c>
      <x:c r="L144" s="9" t="n">
        <x:v>0.5274725274725275</x:v>
      </x:c>
      <x:c r="M144" s="6" t="n">
        <x:v>48</x:v>
      </x:c>
      <x:c r="N144" s="6" t="n">
        <x:v>8</x:v>
      </x:c>
      <x:c r="O144" s="6" t="n">
        <x:v>43</x:v>
      </x:c>
      <x:c r="P144" s="6" t="n">
        <x:v>91</x:v>
      </x:c>
      <x:c r="Q144" s="6" t="n">
        <x:v>75</x:v>
      </x:c>
      <x:c r="R144" s="6"/>
      <x:c r="S144" s="6"/>
      <x:c r="T144" s="6"/>
      <x:c r="U144" s="8" t="n">
        <x:v>36526</x:v>
      </x:c>
      <x:c r="V144" s="8"/>
      <x:c r="W144" s="8" t="n">
        <x:v>38991</x:v>
      </x:c>
      <x:c r="X144" s="8" t="n">
        <x:v>39083</x:v>
      </x:c>
      <x:c r="Y144" s="8" t="n">
        <x:v>39083</x:v>
      </x:c>
      <x:c r="Z144" s="8" t="n">
        <x:v>41640</x:v>
      </x:c>
      <x:c r="AA144" s="6" t="str">
        <x:v>Final 2014-01-01 sample included</x:v>
      </x:c>
      <x:c r="AB144" s="10" t="n">
        <x:v>90415.779</x:v>
      </x:c>
      <x:c r="AC144" s="10" t="n">
        <x:v>196412739.237</x:v>
      </x:c>
      <x:c r="AD144" s="9" t="n">
        <x:v>0.00046033561443736826</x:v>
      </x:c>
      <x:c r="AE144" s="9" t="n">
        <x:v>0.003128666405944466</x:v>
      </x:c>
      <x:c r="AF144" s="9" t="n">
        <x:v>0.6857142857142857</x:v>
      </x:c>
      <x:c r="AG144" s="6" t="str">
        <x:v>esa-ew-id-duration-v1</x:v>
      </x:c>
      <x:c r="AH144" s="6" t="str">
        <x:v>Real prepared telemetry + real annotations</x:v>
      </x:c>
      <x:c r="AI144" s="6" t="str">
        <x:v>Same historical checkpoint. Corrected Q4 2006 calibration. Includes final boundary sample. Original training split differs.</x:v>
      </x:c>
      <x:c r="AJ144" s="6" t="str">
        <x:v>S091</x:v>
      </x:c>
    </x:row>
    <x:row r="145" ht="43" customHeight="1">
      <x:c r="A145" s="6" t="str">
        <x:v>R144</x:v>
      </x:c>
      <x:c r="B145" s="6" t="str">
        <x:v>Historical scoring pair</x:v>
      </x:c>
      <x:c r="C145" s="6" t="str">
        <x:v>Per-timestep scoring</x:v>
      </x:c>
      <x:c r="D145" s="6" t="str">
        <x:v>paired_v1</x:v>
      </x:c>
      <x:c r="E145" s="6" t="n">
        <x:v>42</x:v>
      </x:c>
      <x:c r="F145" s="6" t="str">
        <x:v>40, 41, 42, 43, 44, 45, 46, 47</x:v>
      </x:c>
      <x:c r="G145" s="6" t="str">
        <x:v>2007–2013 + boundary sample</x:v>
      </x:c>
      <x:c r="H145" s="6" t="str">
        <x:v>system_all_channels</x:v>
      </x:c>
      <x:c r="I145" s="9" t="n">
        <x:v>0.5881882411136136</x:v>
      </x:c>
      <x:c r="J145" s="9" t="n">
        <x:v>0.6717904060446175</x:v>
      </x:c>
      <x:c r="K145" s="9" t="n">
        <x:v>0.7026422339015903</x:v>
      </x:c>
      <x:c r="L145" s="9" t="n">
        <x:v>0.5714285714285714</x:v>
      </x:c>
      <x:c r="M145" s="6" t="n">
        <x:v>52</x:v>
      </x:c>
      <x:c r="N145" s="6" t="n">
        <x:v>22</x:v>
      </x:c>
      <x:c r="O145" s="6" t="n">
        <x:v>39</x:v>
      </x:c>
      <x:c r="P145" s="6" t="n">
        <x:v>91</x:v>
      </x:c>
      <x:c r="Q145" s="6" t="n">
        <x:v>296</x:v>
      </x:c>
      <x:c r="R145" s="6"/>
      <x:c r="S145" s="6"/>
      <x:c r="T145" s="6"/>
      <x:c r="U145" s="8" t="n">
        <x:v>36526</x:v>
      </x:c>
      <x:c r="V145" s="8"/>
      <x:c r="W145" s="8" t="n">
        <x:v>38991</x:v>
      </x:c>
      <x:c r="X145" s="8" t="n">
        <x:v>39083</x:v>
      </x:c>
      <x:c r="Y145" s="8" t="n">
        <x:v>39083</x:v>
      </x:c>
      <x:c r="Z145" s="8" t="n">
        <x:v>41640</x:v>
      </x:c>
      <x:c r="AA145" s="6" t="str">
        <x:v>Final 2014-01-01 sample included</x:v>
      </x:c>
      <x:c r="AB145" s="10" t="n">
        <x:v>16901.661</x:v>
      </x:c>
      <x:c r="AC145" s="10" t="n">
        <x:v>196412739.237</x:v>
      </x:c>
      <x:c r="AD145" s="9" t="n">
        <x:v>0.00008605175542919508</x:v>
      </x:c>
      <x:c r="AE145" s="9" t="n">
        <x:v>0.008603832616347283</x:v>
      </x:c>
      <x:c r="AF145" s="9" t="n">
        <x:v>0.18439716312056736</x:v>
      </x:c>
      <x:c r="AG145" s="6" t="str">
        <x:v>esa-ew-id-duration-v1</x:v>
      </x:c>
      <x:c r="AH145" s="6" t="str">
        <x:v>Real prepared telemetry + real annotations</x:v>
      </x:c>
      <x:c r="AI145" s="6" t="str">
        <x:v>Same historical checkpoint. Corrected Q4 2006 calibration. Includes final boundary sample. Original training split differs.</x:v>
      </x:c>
      <x:c r="AJ145" s="6" t="str">
        <x:v>S091</x:v>
      </x:c>
    </x:row>
  </x:sheetData>
  <x:pageMargins left="0.7" right="0.7" top="0.75" bottom="0.75" header="0.3" footer="0.3"/>
  <x:tableParts count="1">
    <x:tablePart xmlns:r="http://schemas.openxmlformats.org/officeDocument/2006/relationships" r:id="R77d5cda62a1f47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62" customHeight="1">
      <x:c r="A1" s="5" t="str">
        <x:v>Real assessment period</x:v>
      </x:c>
      <x:c r="B1" s="5" t="str">
        <x:v>Transformer AE + original augmentation</x:v>
      </x:c>
      <x:c r="C1" s="5" t="str">
        <x:v>Expanded inputs</x:v>
      </x:c>
      <x:c r="D1" s="5" t="str">
        <x:v>Reconstruction only</x:v>
      </x:c>
      <x:c r="E1" s="5" t="str">
        <x:v>Specialist 14,21,29</x:v>
      </x:c>
    </x:row>
    <x:row r="2" ht="27" customHeight="1">
      <x:c r="A2" s="2" t="str">
        <x:v>2003 Apr–Dec</x:v>
      </x:c>
      <x:c r="B2" s="11" t="n">
        <x:f>'Assessment results'!J2</x:f>
        <x:v>0.8331698402429286</x:v>
      </x:c>
      <x:c r="C2" s="11" t="n">
        <x:f>'Assessment results'!J5</x:f>
        <x:v>0.9090688662832848</x:v>
      </x:c>
      <x:c r="D2" s="11" t="n">
        <x:f>'Assessment results'!J8</x:f>
        <x:v>0.5256914934869159</x:v>
      </x:c>
      <x:c r="E2" s="11" t="n">
        <x:f>'Assessment results'!J11</x:f>
        <x:v>0.16658880216667565</x:v>
      </x:c>
    </x:row>
    <x:row r="3" ht="27" customHeight="1">
      <x:c r="A3" s="2" t="str">
        <x:v>2004 Apr–Dec</x:v>
      </x:c>
      <x:c r="B3" s="11" t="n">
        <x:f>'Assessment results'!J3</x:f>
        <x:v>0.42813074712147803</x:v>
      </x:c>
      <x:c r="C3" s="11" t="n">
        <x:f>'Assessment results'!J6</x:f>
        <x:v>0.25136502860024185</x:v>
      </x:c>
      <x:c r="D3" s="11" t="n">
        <x:f>'Assessment results'!J9</x:f>
        <x:v>0.1501837628866907</x:v>
      </x:c>
      <x:c r="E3" s="11" t="n">
        <x:f>'Assessment results'!J12</x:f>
        <x:v>0.7692211622038211</x:v>
      </x:c>
    </x:row>
    <x:row r="4" ht="27" customHeight="1">
      <x:c r="A4" s="2" t="str">
        <x:v>2005 Apr–Dec</x:v>
      </x:c>
      <x:c r="B4" s="11" t="n">
        <x:f>'Assessment results'!J4</x:f>
        <x:v>0.8690551788198424</x:v>
      </x:c>
      <x:c r="C4" s="11" t="n">
        <x:f>'Assessment results'!J7</x:f>
        <x:v>0.1482451976814055</x:v>
      </x:c>
      <x:c r="D4" s="11" t="n">
        <x:f>'Assessment results'!J10</x:f>
        <x:v>0.8689341242155341</x:v>
      </x:c>
      <x:c r="E4" s="11" t="n">
        <x:f>'Assessment results'!J13</x:f>
        <x:v>0.7406413572534629</x:v>
      </x:c>
    </x:row>
    <x:row r="7" ht="24" customHeight="1">
      <x:c r="A7" s="12" t="str">
        <x:v>Same real Apr–Dec assessment in each year. Seed42. 40 epochs. Historical runs do not control all stochastic streams. OR combination appears separately.</x:v>
      </x:c>
      <x:c r="B7" s="12"/>
      <x:c r="C7" s="12"/>
      <x:c r="D7" s="12"/>
      <x:c r="E7" s="12"/>
      <x:c r="F7" s="12"/>
      <x:c r="G7" s="12"/>
    </x:row>
    <x:row r="8" ht="24" customHeight="1">
      <x:c r="A8" s="12"/>
      <x:c r="B8" s="12"/>
      <x:c r="C8" s="12"/>
      <x:c r="D8" s="12"/>
      <x:c r="E8" s="12"/>
      <x:c r="F8" s="12"/>
      <x:c r="G8" s="12"/>
    </x:row>
  </x:sheetData>
  <x:mergeCells>
    <x:mergeCell ref="A7:G8"/>
  </x:mergeCells>
  <x:pageMargins left="0.7" right="0.7" top="0.75" bottom="0.75" header="0.3" footer="0.3"/>
  <x:drawing xmlns:r="http://schemas.openxmlformats.org/officeDocument/2006/relationships" r:id="R132ea947e1e54a50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62" customHeight="1">
      <x:c r="A1" s="5" t="str">
        <x:v>Real assessment period</x:v>
      </x:c>
      <x:c r="B1" s="5" t="str">
        <x:v>Unmasked control</x:v>
      </x:c>
      <x:c r="C1" s="5" t="str">
        <x:v>Masked reconstruction</x:v>
      </x:c>
    </x:row>
    <x:row r="2" ht="27" customHeight="1">
      <x:c r="A2" s="2" t="str">
        <x:v>2003 Apr–Dec</x:v>
      </x:c>
      <x:c r="B2" s="11" t="n">
        <x:f>'Assessment results'!J66</x:f>
        <x:v>0.7142857142857143</x:v>
      </x:c>
      <x:c r="C2" s="11" t="n">
        <x:f>'Assessment results'!J68</x:f>
        <x:v>0.9088528102827063</x:v>
      </x:c>
    </x:row>
    <x:row r="3" ht="27" customHeight="1">
      <x:c r="A3" s="2" t="str">
        <x:v>2004 Apr–Dec</x:v>
      </x:c>
      <x:c r="B3" s="11" t="n">
        <x:f>'Assessment results'!J69</x:f>
        <x:v>0.5946082229040464</x:v>
      </x:c>
      <x:c r="C3" s="11" t="n">
        <x:f>'Assessment results'!J71</x:f>
        <x:v>0.09040889286198046</x:v>
      </x:c>
    </x:row>
    <x:row r="4" ht="27" customHeight="1">
      <x:c r="A4" s="2" t="str">
        <x:v>2005 Apr–Dec</x:v>
      </x:c>
      <x:c r="B4" s="11" t="n">
        <x:f>'Assessment results'!J73</x:f>
        <x:v>0.8691157005942426</x:v>
      </x:c>
      <x:c r="C4" s="11" t="n">
        <x:f>'Assessment results'!J75</x:f>
        <x:v>0.8690854401676537</x:v>
      </x:c>
    </x:row>
    <x:row r="7" ht="24" customHeight="1">
      <x:c r="A7" s="12" t="str">
        <x:v>Same real periods and labels per pair. 5 epochs and 25,000 windows. Masked inference uses four passes, so compute differs.</x:v>
      </x:c>
      <x:c r="B7" s="12"/>
      <x:c r="C7" s="12"/>
      <x:c r="D7" s="12"/>
      <x:c r="E7" s="12"/>
      <x:c r="F7" s="12"/>
      <x:c r="G7" s="12"/>
    </x:row>
    <x:row r="8" ht="24" customHeight="1">
      <x:c r="A8" s="12"/>
      <x:c r="B8" s="12"/>
      <x:c r="C8" s="12"/>
      <x:c r="D8" s="12"/>
      <x:c r="E8" s="12"/>
      <x:c r="F8" s="12"/>
      <x:c r="G8" s="12"/>
    </x:row>
  </x:sheetData>
  <x:mergeCells>
    <x:mergeCell ref="A7:G8"/>
  </x:mergeCells>
  <x:pageMargins left="0.7" right="0.7" top="0.75" bottom="0.75" header="0.3" footer="0.3"/>
  <x:drawing xmlns:r="http://schemas.openxmlformats.org/officeDocument/2006/relationships" r:id="R43c6d13c0f85468e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62" customHeight="1">
      <x:c r="A1" s="5" t="str">
        <x:v>Real assessment period</x:v>
      </x:c>
      <x:c r="B1" s="5" t="str">
        <x:v>Masked reconstruction</x:v>
      </x:c>
      <x:c r="C1" s="5" t="str">
        <x:v>Masked hidden-overlap scoring</x:v>
      </x:c>
    </x:row>
    <x:row r="2" ht="27" customHeight="1">
      <x:c r="A2" s="2" t="str">
        <x:v>2004 Apr–Dec</x:v>
      </x:c>
      <x:c r="B2" s="11" t="n">
        <x:f>'Assessment results'!J77</x:f>
        <x:v>0.09040889286198046</x:v>
      </x:c>
      <x:c r="C2" s="11" t="n">
        <x:f>'Assessment results'!J79</x:f>
        <x:v>0.09294758337948845</x:v>
      </x:c>
    </x:row>
    <x:row r="5" ht="24" customHeight="1">
      <x:c r="A5" s="12" t="str">
        <x:v>One 2004 mechanism pilot. Same real targets. Candidate calibration F0.5 stayed zero.</x:v>
      </x:c>
      <x:c r="B5" s="12"/>
      <x:c r="C5" s="12"/>
      <x:c r="D5" s="12"/>
      <x:c r="E5" s="12"/>
      <x:c r="F5" s="12"/>
      <x:c r="G5" s="12"/>
    </x:row>
    <x:row r="6" ht="24" customHeight="1">
      <x:c r="A6" s="12"/>
      <x:c r="B6" s="12"/>
      <x:c r="C6" s="12"/>
      <x:c r="D6" s="12"/>
      <x:c r="E6" s="12"/>
      <x:c r="F6" s="12"/>
      <x:c r="G6" s="12"/>
    </x:row>
  </x:sheetData>
  <x:mergeCells>
    <x:mergeCell ref="A5:G6"/>
  </x:mergeCells>
  <x:pageMargins left="0.7" right="0.7" top="0.75" bottom="0.75" header="0.3" footer="0.3"/>
  <x:drawing xmlns:r="http://schemas.openxmlformats.org/officeDocument/2006/relationships" r:id="R8594bd7ddef447a4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62" customHeight="1">
      <x:c r="A1" s="5" t="str">
        <x:v>Real assessment period</x:v>
      </x:c>
      <x:c r="B1" s="5" t="str">
        <x:v>Short coordinated generator</x:v>
      </x:c>
      <x:c r="C1" s="5" t="str">
        <x:v>Short generator without rolls</x:v>
      </x:c>
    </x:row>
    <x:row r="2" ht="27" customHeight="1">
      <x:c r="A2" s="2" t="str">
        <x:v>2003 Apr–Dec</x:v>
      </x:c>
      <x:c r="B2" s="11" t="n">
        <x:f>'Assessment results'!J53</x:f>
        <x:v>0.7142841320076883</x:v>
      </x:c>
      <x:c r="C2" s="11" t="n">
        <x:f>'Assessment results'!J55</x:f>
        <x:v>0.8327631864538698</x:v>
      </x:c>
    </x:row>
    <x:row r="3" ht="27" customHeight="1">
      <x:c r="A3" s="2" t="str">
        <x:v>2004 Apr–Dec</x:v>
      </x:c>
      <x:c r="B3" s="11" t="n">
        <x:f>'Assessment results'!J57</x:f>
        <x:v>0.37784526681606334</x:v>
      </x:c>
      <x:c r="C3" s="11" t="n">
        <x:f>'Assessment results'!J59</x:f>
        <x:v>0.5261337504572453</x:v>
      </x:c>
    </x:row>
    <x:row r="4" ht="27" customHeight="1">
      <x:c r="A4" s="2" t="str">
        <x:v>2005 Apr–Dec</x:v>
      </x:c>
      <x:c r="B4" s="11" t="n">
        <x:f>'Assessment results'!J61</x:f>
        <x:v>0.9993655471300382</x:v>
      </x:c>
      <x:c r="C4" s="11" t="n">
        <x:f>'Assessment results'!J63</x:f>
        <x:v>0.9671852173337773</x:v>
      </x:c>
    </x:row>
    <x:row r="7" ht="24" customHeight="1">
      <x:c r="A7" s="12" t="str">
        <x:v>Seed42 only. Same real periods, 5 epochs and 25,000 windows. Rolls removed only from short branch. Calibration2004 remains zero.</x:v>
      </x:c>
      <x:c r="B7" s="12"/>
      <x:c r="C7" s="12"/>
      <x:c r="D7" s="12"/>
      <x:c r="E7" s="12"/>
      <x:c r="F7" s="12"/>
      <x:c r="G7" s="12"/>
    </x:row>
    <x:row r="8" ht="24" customHeight="1">
      <x:c r="A8" s="12"/>
      <x:c r="B8" s="12"/>
      <x:c r="C8" s="12"/>
      <x:c r="D8" s="12"/>
      <x:c r="E8" s="12"/>
      <x:c r="F8" s="12"/>
      <x:c r="G8" s="12"/>
    </x:row>
  </x:sheetData>
  <x:mergeCells>
    <x:mergeCell ref="A7:G8"/>
  </x:mergeCells>
  <x:pageMargins left="0.7" right="0.7" top="0.75" bottom="0.75" header="0.3" footer="0.3"/>
  <x:drawing xmlns:r="http://schemas.openxmlformats.org/officeDocument/2006/relationships" r:id="R134317cb3ab1417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62" customHeight="1">
      <x:c r="A1" s="5" t="str">
        <x:v>Real assessment period</x:v>
      </x:c>
      <x:c r="B1" s="5" t="str">
        <x:v>Original threshold grid</x:v>
      </x:c>
      <x:c r="C1" s="5" t="str">
        <x:v>Dense grid + nominal alarm cap</x:v>
      </x:c>
    </x:row>
    <x:row r="2" ht="27" customHeight="1">
      <x:c r="A2" s="2" t="str">
        <x:v>2003 Apr–Dec</x:v>
      </x:c>
      <x:c r="B2" s="11" t="n">
        <x:f>'Assessment results'!J81</x:f>
        <x:v>0.8331698402429286</x:v>
      </x:c>
      <x:c r="C2" s="11" t="n">
        <x:f>'Assessment results'!J83</x:f>
        <x:v>0.8331698402429286</x:v>
      </x:c>
    </x:row>
    <x:row r="3" ht="27" customHeight="1">
      <x:c r="A3" s="2" t="str">
        <x:v>2004 Apr–Dec</x:v>
      </x:c>
      <x:c r="B3" s="11" t="n">
        <x:f>'Assessment results'!J85</x:f>
        <x:v>0.42813074712147803</x:v>
      </x:c>
      <x:c r="C3" s="11" t="n">
        <x:f>'Assessment results'!J87</x:f>
        <x:v>0.4282482724801282</x:v>
      </x:c>
    </x:row>
    <x:row r="4" ht="27" customHeight="1">
      <x:c r="A4" s="2" t="str">
        <x:v>2005 Apr–Dec</x:v>
      </x:c>
      <x:c r="B4" s="11" t="n">
        <x:f>'Assessment results'!J89</x:f>
        <x:v>0.8690551788198424</x:v>
      </x:c>
      <x:c r="C4" s="11" t="n">
        <x:f>'Assessment results'!J91</x:f>
        <x:v>0.08239692971786246</x:v>
      </x:c>
    </x:row>
    <x:row r="7" ht="24" customHeight="1">
      <x:c r="A7" s="12" t="str">
        <x:v>Same saved model scores and real assessment. Calibration-only changes. Improved calibration does not establish improved assessment.</x:v>
      </x:c>
      <x:c r="B7" s="12"/>
      <x:c r="C7" s="12"/>
      <x:c r="D7" s="12"/>
      <x:c r="E7" s="12"/>
      <x:c r="F7" s="12"/>
      <x:c r="G7" s="12"/>
    </x:row>
    <x:row r="8" ht="24" customHeight="1">
      <x:c r="A8" s="12"/>
      <x:c r="B8" s="12"/>
      <x:c r="C8" s="12"/>
      <x:c r="D8" s="12"/>
      <x:c r="E8" s="12"/>
      <x:c r="F8" s="12"/>
      <x:c r="G8" s="12"/>
    </x:row>
  </x:sheetData>
  <x:mergeCells>
    <x:mergeCell ref="A7:G8"/>
  </x:mergeCells>
  <x:pageMargins left="0.7" right="0.7" top="0.75" bottom="0.75" header="0.3" footer="0.3"/>
  <x:drawing xmlns:r="http://schemas.openxmlformats.org/officeDocument/2006/relationships" r:id="R6bb6c07245ed4f02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13" hidden="0" customWidth="1"/>
  </x:cols>
  <x:sheetData>
    <x:row r="1" ht="45" customHeight="1">
      <x:c r="A1" s="5" t="str">
        <x:v>Assessment period</x:v>
      </x:c>
      <x:c r="B1" s="5" t="str">
        <x:v>Original mean</x:v>
      </x:c>
      <x:c r="C1" s="5" t="str">
        <x:v>Short mean</x:v>
      </x:c>
      <x:c r="D1" s="5" t="str">
        <x:v>Mean difference</x:v>
      </x:c>
      <x:c r="E1" s="5" t="str">
        <x:v>Original sample SD</x:v>
      </x:c>
      <x:c r="F1" s="5" t="str">
        <x:v>Short sample SD</x:v>
      </x:c>
      <x:c r="G1" s="5" t="str">
        <x:v>Seeds</x:v>
      </x:c>
    </x:row>
    <x:row r="2" ht="27" customHeight="1">
      <x:c r="A2" s="2" t="str">
        <x:v>2003 Apr–Dec</x:v>
      </x:c>
      <x:c r="B2" s="11" t="n">
        <x:f>AVERAGE('Assessment results'!J17,'Assessment results'!J29,'Assessment results'!J41)</x:f>
        <x:v>0.6424183609233517</x:v>
      </x:c>
      <x:c r="C2" s="11" t="n">
        <x:f>AVERAGE('Assessment results'!J19,'Assessment results'!J31,'Assessment results'!J43)</x:f>
        <x:v>0.8362918990973064</x:v>
      </x:c>
      <x:c r="D2" s="11" t="n">
        <x:f>C2-B2</x:f>
        <x:v>0.1938735381739547</x:v>
      </x:c>
      <x:c r="E2" s="11" t="n">
        <x:f>STDEV('Assessment results'!J17,'Assessment results'!J29,'Assessment results'!J41)</x:f>
        <x:v>0.17162141279682674</x:v>
      </x:c>
      <x:c r="F2" s="11" t="n">
        <x:f>STDEV('Assessment results'!J19,'Assessment results'!J31,'Assessment results'!J43)</x:f>
        <x:v>0.12353196136313063</x:v>
      </x:c>
      <x:c r="G2" s="2" t="n">
        <x:v>3</x:v>
      </x:c>
    </x:row>
    <x:row r="3" ht="27" customHeight="1">
      <x:c r="A3" s="2" t="str">
        <x:v>2004 Apr–Dec</x:v>
      </x:c>
      <x:c r="B3" s="11" t="n">
        <x:f>AVERAGE('Assessment results'!J21,'Assessment results'!J33,'Assessment results'!J45)</x:f>
        <x:v>0.41593424338571516</x:v>
      </x:c>
      <x:c r="C3" s="11" t="n">
        <x:f>AVERAGE('Assessment results'!J23,'Assessment results'!J35,'Assessment results'!J47)</x:f>
        <x:v>0.241707072134463</x:v>
      </x:c>
      <x:c r="D3" s="11" t="n">
        <x:f>C3-B3</x:f>
        <x:v>-0.17422717125125217</x:v>
      </x:c>
      <x:c r="E3" s="11" t="n">
        <x:f>STDEV('Assessment results'!J21,'Assessment results'!J33,'Assessment results'!J45)</x:f>
        <x:v>0.3642731430056104</x:v>
      </x:c>
      <x:c r="F3" s="11" t="n">
        <x:f>STDEV('Assessment results'!J23,'Assessment results'!J35,'Assessment results'!J47)</x:f>
        <x:v>0.1231660021903779</x:v>
      </x:c>
      <x:c r="G3" s="2" t="n">
        <x:v>3</x:v>
      </x:c>
    </x:row>
    <x:row r="4" ht="27" customHeight="1">
      <x:c r="A4" s="2" t="str">
        <x:v>2005 Apr–Dec</x:v>
      </x:c>
      <x:c r="B4" s="11" t="n">
        <x:f>AVERAGE('Assessment results'!J25,'Assessment results'!J37,'Assessment results'!J49)</x:f>
        <x:v>0.8480108901646869</x:v>
      </x:c>
      <x:c r="C4" s="11" t="n">
        <x:f>AVERAGE('Assessment results'!J27,'Assessment results'!J39,'Assessment results'!J51)</x:f>
        <x:v>0.9313220426014688</x:v>
      </x:c>
      <x:c r="D4" s="11" t="n">
        <x:f>C4-B4</x:f>
        <x:v>0.08331115243678189</x:v>
      </x:c>
      <x:c r="E4" s="11" t="n">
        <x:f>STDEV('Assessment results'!J25,'Assessment results'!J37,'Assessment results'!J49)</x:f>
        <x:v>0.03652840078344276</x:v>
      </x:c>
      <x:c r="F4" s="11" t="n">
        <x:f>STDEV('Assessment results'!J27,'Assessment results'!J39,'Assessment results'!J51)</x:f>
        <x:v>0.06532082348206435</x:v>
      </x:c>
      <x:c r="G4" s="2" t="n">
        <x:v>3</x:v>
      </x:c>
    </x:row>
    <x:row r="6" ht="25" customHeight="1">
      <x:c r="A6" s="12" t="str">
        <x:v>System scope. Same real Apr–Dec periods. Equal 5-epoch/25,000-window budget. Mean of three independent training seeds.</x:v>
      </x:c>
      <x:c r="B6" s="12"/>
      <x:c r="C6" s="12"/>
      <x:c r="D6" s="12"/>
      <x:c r="E6" s="12"/>
      <x:c r="F6" s="12"/>
      <x:c r="G6" s="12"/>
    </x:row>
    <x:row r="7" ht="25" customHeight="1">
      <x:c r="A7" s="12"/>
      <x:c r="B7" s="12"/>
      <x:c r="C7" s="12"/>
      <x:c r="D7" s="12"/>
      <x:c r="E7" s="12"/>
      <x:c r="F7" s="12"/>
      <x:c r="G7" s="12"/>
    </x:row>
    <x:row r="31">
      <x:c r="A31" t="str">
        <x:v>Assessment period</x:v>
      </x:c>
      <x:c r="B31" t="str">
        <x:v>Seed</x:v>
      </x:c>
      <x:c r="C31" t="str">
        <x:v>Original F0.5</x:v>
      </x:c>
      <x:c r="D31" t="str">
        <x:v>Short F0.5</x:v>
      </x:c>
      <x:c r="E31" t="str">
        <x:v>Difference</x:v>
      </x:c>
    </x:row>
    <x:row r="32">
      <x:c r="A32" t="str">
        <x:v>2003 Apr–Dec</x:v>
      </x:c>
      <x:c r="B32" t="n">
        <x:v>42</x:v>
      </x:c>
      <x:c r="C32" s="13" t="n">
        <x:f>'Assessment results'!J17</x:f>
        <x:v>0.5</x:v>
      </x:c>
      <x:c r="D32" s="13" t="n">
        <x:f>'Assessment results'!J19</x:f>
        <x:v>0.7142841320076883</x:v>
      </x:c>
      <x:c r="E32" s="13" t="n">
        <x:f>D32-C32</x:f>
        <x:v>0.21428413200768825</x:v>
      </x:c>
    </x:row>
    <x:row r="33">
      <x:c r="A33" t="str">
        <x:v>2003 Apr–Dec</x:v>
      </x:c>
      <x:c r="B33" t="n">
        <x:v>43</x:v>
      </x:c>
      <x:c r="C33" s="13" t="n">
        <x:f>'Assessment results'!J29</x:f>
        <x:v>0.5942890849499441</x:v>
      </x:c>
      <x:c r="D33" s="13" t="n">
        <x:f>'Assessment results'!J31</x:f>
        <x:v>0.9612936267899937</x:v>
      </x:c>
      <x:c r="E33" s="13" t="n">
        <x:f>D33-C33</x:f>
        <x:v>0.3670045418400496</x:v>
      </x:c>
    </x:row>
    <x:row r="34">
      <x:c r="A34" t="str">
        <x:v>2003 Apr–Dec</x:v>
      </x:c>
      <x:c r="B34" t="n">
        <x:v>44</x:v>
      </x:c>
      <x:c r="C34" s="13" t="n">
        <x:f>'Assessment results'!J41</x:f>
        <x:v>0.8329659978201107</x:v>
      </x:c>
      <x:c r="D34" s="13" t="n">
        <x:f>'Assessment results'!J43</x:f>
        <x:v>0.833297938494237</x:v>
      </x:c>
      <x:c r="E34" s="13" t="n">
        <x:f>D34-C34</x:f>
        <x:v>0.00033194067412622985</x:v>
      </x:c>
    </x:row>
    <x:row r="35">
      <x:c r="A35" t="str">
        <x:v>2004 Apr–Dec</x:v>
      </x:c>
      <x:c r="B35" t="n">
        <x:v>42</x:v>
      </x:c>
      <x:c r="C35" s="13" t="n">
        <x:f>'Assessment results'!J21</x:f>
        <x:v>0.25576960838239177</x:v>
      </x:c>
      <x:c r="D35" s="13" t="n">
        <x:f>'Assessment results'!J23</x:f>
        <x:v>0.37784526681606334</x:v>
      </x:c>
      <x:c r="E35" s="13" t="n">
        <x:f>D35-C35</x:f>
        <x:v>0.12207565843367157</x:v>
      </x:c>
    </x:row>
    <x:row r="36">
      <x:c r="A36" t="str">
        <x:v>2004 Apr–Dec</x:v>
      </x:c>
      <x:c r="B36" t="n">
        <x:v>43</x:v>
      </x:c>
      <x:c r="C36" s="13" t="n">
        <x:f>'Assessment results'!J33</x:f>
        <x:v>0.15918516391572418</x:v>
      </x:c>
      <x:c r="D36" s="13" t="n">
        <x:f>'Assessment results'!J35</x:f>
        <x:v>0.13800571332759548</x:v>
      </x:c>
      <x:c r="E36" s="13" t="n">
        <x:f>D36-C36</x:f>
        <x:v>-0.0211794505881287</x:v>
      </x:c>
    </x:row>
    <x:row r="37">
      <x:c r="A37" t="str">
        <x:v>2004 Apr–Dec</x:v>
      </x:c>
      <x:c r="B37" t="n">
        <x:v>44</x:v>
      </x:c>
      <x:c r="C37" s="13" t="n">
        <x:f>'Assessment results'!J45</x:f>
        <x:v>0.8328479578590294</x:v>
      </x:c>
      <x:c r="D37" s="13" t="n">
        <x:f>'Assessment results'!J47</x:f>
        <x:v>0.20927023625973015</x:v>
      </x:c>
      <x:c r="E37" s="13" t="n">
        <x:f>D37-C37</x:f>
        <x:v>-0.6235777215992993</x:v>
      </x:c>
    </x:row>
    <x:row r="38">
      <x:c r="A38" t="str">
        <x:v>2005 Apr–Dec</x:v>
      </x:c>
      <x:c r="B38" t="n">
        <x:v>42</x:v>
      </x:c>
      <x:c r="C38" s="13" t="n">
        <x:f>'Assessment results'!J25</x:f>
        <x:v>0.8690854401676537</x:v>
      </x:c>
      <x:c r="D38" s="13" t="n">
        <x:f>'Assessment results'!J27</x:f>
        <x:v>0.9993655471300382</x:v>
      </x:c>
      <x:c r="E38" s="13" t="n">
        <x:f>D38-C38</x:f>
        <x:v>0.13028010696238457</x:v>
      </x:c>
    </x:row>
    <x:row r="39">
      <x:c r="A39" t="str">
        <x:v>2005 Apr–Dec</x:v>
      </x:c>
      <x:c r="B39" t="n">
        <x:v>43</x:v>
      </x:c>
      <x:c r="C39" s="13" t="n">
        <x:f>'Assessment results'!J37</x:f>
        <x:v>0.8691157005942426</x:v>
      </x:c>
      <x:c r="D39" s="13" t="n">
        <x:f>'Assessment results'!J39</x:f>
        <x:v>0.8691157005942426</x:v>
      </x:c>
      <x:c r="E39" s="13" t="n">
        <x:f>D39-C39</x:f>
        <x:v>0</x:v>
      </x:c>
    </x:row>
    <x:row r="40">
      <x:c r="A40" t="str">
        <x:v>2005 Apr–Dec</x:v>
      </x:c>
      <x:c r="B40" t="n">
        <x:v>44</x:v>
      </x:c>
      <x:c r="C40" s="13" t="n">
        <x:f>'Assessment results'!J49</x:f>
        <x:v>0.8058315297321648</x:v>
      </x:c>
      <x:c r="D40" s="13" t="n">
        <x:f>'Assessment results'!J51</x:f>
        <x:v>0.9254848800801257</x:v>
      </x:c>
      <x:c r="E40" s="13" t="n">
        <x:f>D40-C40</x:f>
        <x:v>0.11965335034796099</x:v>
      </x:c>
    </x:row>
  </x:sheetData>
  <x:mergeCells>
    <x:mergeCell ref="A6:G7"/>
  </x:mergeCells>
  <x:pageMargins left="0.7" right="0.7" top="0.75" bottom="0.75" header="0.3" footer="0.3"/>
  <x:drawing xmlns:r="http://schemas.openxmlformats.org/officeDocument/2006/relationships" r:id="R1f9af5e2d63941b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4" hidden="0" customWidth="1"/>
  </x:cols>
  <x:sheetData>
    <x:row r="1" ht="45" customHeight="1">
      <x:c r="A1" s="5" t="str">
        <x:v>Assessment</x:v>
      </x:c>
      <x:c r="B1" s="5" t="str">
        <x:v>System F0.5</x:v>
      </x:c>
      <x:c r="C1" s="5" t="str">
        <x:v>Local F0.5</x:v>
      </x:c>
      <x:c r="D1" s="5" t="str">
        <x:v>Detected system</x:v>
      </x:c>
      <x:c r="E1" s="5" t="str">
        <x:v>Missed system</x:v>
      </x:c>
      <x:c r="F1" s="5" t="str">
        <x:v>False events system</x:v>
      </x:c>
      <x:c r="I1" t="str">
        <x:v>Year</x:v>
      </x:c>
      <x:c r="J1" t="str">
        <x:v>System F0.5</x:v>
      </x:c>
    </x:row>
    <x:row r="2" ht="27" customHeight="1">
      <x:c r="A2" s="2" t="str">
        <x:v>2007–2013 pooled</x:v>
      </x:c>
      <x:c r="B2" s="11" t="n">
        <x:f>'Assessment results'!J103</x:f>
        <x:v>0.8057217336876309</x:v>
      </x:c>
      <x:c r="C2" s="11" t="n">
        <x:f>'Assessment results'!J111</x:f>
        <x:v>0.862906630296026</x:v>
      </x:c>
      <x:c r="D2" s="2" t="n">
        <x:f>'Assessment results'!M103</x:f>
        <x:v>54</x:v>
      </x:c>
      <x:c r="E2" s="2" t="n">
        <x:f>'Assessment results'!O103</x:f>
        <x:v>37</x:v>
      </x:c>
      <x:c r="F2" s="2" t="n">
        <x:f>'Assessment results'!N103</x:f>
        <x:v>7</x:v>
      </x:c>
      <x:c r="I2" t="str">
        <x:v>2007</x:v>
      </x:c>
      <x:c r="J2" t="n">
        <x:f>B3</x:f>
        <x:v>0.8121982188064382</x:v>
      </x:c>
    </x:row>
    <x:row r="3" ht="27" customHeight="1">
      <x:c r="A3" s="2" t="str">
        <x:v>2007</x:v>
      </x:c>
      <x:c r="B3" s="11" t="n">
        <x:f>'Assessment results'!J104</x:f>
        <x:v>0.8121982188064382</x:v>
      </x:c>
      <x:c r="C3" s="11"/>
      <x:c r="D3" s="2" t="n">
        <x:f>'Assessment results'!M104</x:f>
        <x:v>13</x:v>
      </x:c>
      <x:c r="E3" s="2" t="n">
        <x:f>'Assessment results'!O104</x:f>
        <x:v>3</x:v>
      </x:c>
      <x:c r="F3" s="2" t="n">
        <x:f>'Assessment results'!N104</x:f>
        <x:v>3</x:v>
      </x:c>
      <x:c r="I3" t="str">
        <x:v>2008</x:v>
      </x:c>
      <x:c r="J3" t="n">
        <x:f>B4</x:f>
        <x:v>0.7138769723031541</x:v>
      </x:c>
    </x:row>
    <x:row r="4" ht="27" customHeight="1">
      <x:c r="A4" s="2" t="str">
        <x:v>2008</x:v>
      </x:c>
      <x:c r="B4" s="11" t="n">
        <x:f>'Assessment results'!J105</x:f>
        <x:v>0.7138769723031541</x:v>
      </x:c>
      <x:c r="C4" s="11"/>
      <x:c r="D4" s="2" t="n">
        <x:f>'Assessment results'!M105</x:f>
        <x:v>7</x:v>
      </x:c>
      <x:c r="E4" s="2" t="n">
        <x:f>'Assessment results'!O105</x:f>
        <x:v>6</x:v>
      </x:c>
      <x:c r="F4" s="2" t="n">
        <x:f>'Assessment results'!N105</x:f>
        <x:v>2</x:v>
      </x:c>
      <x:c r="I4" t="str">
        <x:v>2009</x:v>
      </x:c>
      <x:c r="J4" t="n">
        <x:f>B5</x:f>
        <x:v>0.9087205042326162</x:v>
      </x:c>
    </x:row>
    <x:row r="5" ht="27" customHeight="1">
      <x:c r="A5" s="2" t="str">
        <x:v>2009</x:v>
      </x:c>
      <x:c r="B5" s="11" t="n">
        <x:f>'Assessment results'!J106</x:f>
        <x:v>0.9087205042326162</x:v>
      </x:c>
      <x:c r="C5" s="11"/>
      <x:c r="D5" s="2" t="n">
        <x:f>'Assessment results'!M106</x:f>
        <x:v>8</x:v>
      </x:c>
      <x:c r="E5" s="2" t="n">
        <x:f>'Assessment results'!O106</x:f>
        <x:v>4</x:v>
      </x:c>
      <x:c r="F5" s="2" t="n">
        <x:f>'Assessment results'!N106</x:f>
        <x:v>0</x:v>
      </x:c>
      <x:c r="I5" t="str">
        <x:v>2010</x:v>
      </x:c>
      <x:c r="J5" t="n">
        <x:f>B6</x:f>
        <x:v>0.7811205994191147</x:v>
      </x:c>
    </x:row>
    <x:row r="6" ht="27" customHeight="1">
      <x:c r="A6" s="2" t="str">
        <x:v>2010</x:v>
      </x:c>
      <x:c r="B6" s="11" t="n">
        <x:f>'Assessment results'!J107</x:f>
        <x:v>0.7811205994191147</x:v>
      </x:c>
      <x:c r="C6" s="11"/>
      <x:c r="D6" s="2" t="n">
        <x:f>'Assessment results'!M107</x:f>
        <x:v>5</x:v>
      </x:c>
      <x:c r="E6" s="2" t="n">
        <x:f>'Assessment results'!O107</x:f>
        <x:v>7</x:v>
      </x:c>
      <x:c r="F6" s="2" t="n">
        <x:f>'Assessment results'!N107</x:f>
        <x:v>0</x:v>
      </x:c>
      <x:c r="I6" t="str">
        <x:v>2011</x:v>
      </x:c>
      <x:c r="J6" t="n">
        <x:f>B7</x:f>
        <x:v>0.8137538357009343</x:v>
      </x:c>
    </x:row>
    <x:row r="7" ht="27" customHeight="1">
      <x:c r="A7" s="2" t="str">
        <x:v>2011</x:v>
      </x:c>
      <x:c r="B7" s="11" t="n">
        <x:f>'Assessment results'!J108</x:f>
        <x:v>0.8137538357009343</x:v>
      </x:c>
      <x:c r="C7" s="11"/>
      <x:c r="D7" s="2" t="n">
        <x:f>'Assessment results'!M108</x:f>
        <x:v>7</x:v>
      </x:c>
      <x:c r="E7" s="2" t="n">
        <x:f>'Assessment results'!O108</x:f>
        <x:v>8</x:v>
      </x:c>
      <x:c r="F7" s="2" t="n">
        <x:f>'Assessment results'!N108</x:f>
        <x:v>0</x:v>
      </x:c>
      <x:c r="I7" t="str">
        <x:v>2012</x:v>
      </x:c>
      <x:c r="J7" t="n">
        <x:f>B8</x:f>
        <x:v>0.6577284209119703</x:v>
      </x:c>
    </x:row>
    <x:row r="8" ht="27" customHeight="1">
      <x:c r="A8" s="2" t="str">
        <x:v>2012</x:v>
      </x:c>
      <x:c r="B8" s="11" t="n">
        <x:f>'Assessment results'!J109</x:f>
        <x:v>0.6577284209119703</x:v>
      </x:c>
      <x:c r="C8" s="11"/>
      <x:c r="D8" s="2" t="n">
        <x:f>'Assessment results'!M109</x:f>
        <x:v>5</x:v>
      </x:c>
      <x:c r="E8" s="2" t="n">
        <x:f>'Assessment results'!O109</x:f>
        <x:v>5</x:v>
      </x:c>
      <x:c r="F8" s="2" t="n">
        <x:f>'Assessment results'!N109</x:f>
        <x:v>2</x:v>
      </x:c>
      <x:c r="I8" t="str">
        <x:v>2013</x:v>
      </x:c>
      <x:c r="J8" t="n">
        <x:f>B9</x:f>
        <x:v>0.8998957976620268</x:v>
      </x:c>
    </x:row>
    <x:row r="9" ht="27" customHeight="1">
      <x:c r="A9" s="2" t="str">
        <x:v>2013</x:v>
      </x:c>
      <x:c r="B9" s="11" t="n">
        <x:f>'Assessment results'!J110</x:f>
        <x:v>0.8998957976620268</x:v>
      </x:c>
      <x:c r="C9" s="11"/>
      <x:c r="D9" s="2" t="n">
        <x:f>'Assessment results'!M110</x:f>
        <x:v>9</x:v>
      </x:c>
      <x:c r="E9" s="2" t="n">
        <x:f>'Assessment results'!O110</x:f>
        <x:v>5</x:v>
      </x:c>
      <x:c r="F9" s="2" t="n">
        <x:f>'Assessment results'!N110</x:f>
        <x:v>0</x:v>
      </x:c>
    </x:row>
    <x:row r="11" ht="26" customHeight="1">
      <x:c r="A11" s="12" t="str">
        <x:v>Train 2000–2005, calibrate 2006, assess 2007–2013. Eight input channels 40–47. Blank annual local scores were not saved in this baseline summary.</x:v>
      </x:c>
      <x:c r="B11" s="12"/>
      <x:c r="C11" s="12"/>
      <x:c r="D11" s="12"/>
      <x:c r="E11" s="12"/>
      <x:c r="F11" s="12"/>
      <x:c r="G11" s="12"/>
    </x:row>
    <x:row r="12" ht="26" customHeight="1">
      <x:c r="A12" s="12"/>
      <x:c r="B12" s="12"/>
      <x:c r="C12" s="12"/>
      <x:c r="D12" s="12"/>
      <x:c r="E12" s="12"/>
      <x:c r="F12" s="12"/>
      <x:c r="G12" s="12"/>
    </x:row>
  </x:sheetData>
  <x:mergeCells>
    <x:mergeCell ref="A11:G12"/>
  </x:mergeCells>
  <x:pageMargins left="0.7" right="0.7" top="0.75" bottom="0.75" header="0.3" footer="0.3"/>
  <x:drawing xmlns:r="http://schemas.openxmlformats.org/officeDocument/2006/relationships" r:id="Rc56578e0a01a406d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62" customHeight="1">
      <x:c r="A1" s="5" t="str">
        <x:v>Real assessment period</x:v>
      </x:c>
      <x:c r="B1" s="5" t="str">
        <x:v>Zero-context control</x:v>
      </x:c>
      <x:c r="C1" s="5" t="str">
        <x:v>Observation-age context</x:v>
      </x:c>
    </x:row>
    <x:row r="2" ht="27" customHeight="1">
      <x:c r="A2" s="2" t="str">
        <x:v>2007–2013 pooled</x:v>
      </x:c>
      <x:c r="B2" s="11" t="n">
        <x:f>'Assessment results'!J112</x:f>
        <x:v>0.6895978913804215</x:v>
      </x:c>
      <x:c r="C2" s="11" t="n">
        <x:f>'Assessment results'!J114</x:f>
        <x:v>0.5956546320162247</x:v>
      </x:c>
    </x:row>
    <x:row r="3" ht="27" customHeight="1">
      <x:c r="A3" s="2" t="str">
        <x:v>2007</x:v>
      </x:c>
      <x:c r="B3" s="11" t="n">
        <x:f>'Assessment results'!J116</x:f>
        <x:v>0.8926958185304573</x:v>
      </x:c>
      <x:c r="C3" s="11" t="n">
        <x:f>'Assessment results'!J130</x:f>
        <x:v>0.7290152315205891</x:v>
      </x:c>
    </x:row>
    <x:row r="4" ht="27" customHeight="1">
      <x:c r="A4" s="2" t="str">
        <x:v>2008</x:v>
      </x:c>
      <x:c r="B4" s="11" t="n">
        <x:f>'Assessment results'!J118</x:f>
        <x:v>0.5999609888614575</x:v>
      </x:c>
      <x:c r="C4" s="11" t="n">
        <x:f>'Assessment results'!J132</x:f>
        <x:v>0.33322381782482935</x:v>
      </x:c>
    </x:row>
    <x:row r="5" ht="27" customHeight="1">
      <x:c r="A5" s="2" t="str">
        <x:v>2009</x:v>
      </x:c>
      <x:c r="B5" s="11" t="n">
        <x:f>'Assessment results'!J120</x:f>
        <x:v>0.6249136620372246</x:v>
      </x:c>
      <x:c r="C5" s="11" t="n">
        <x:f>'Assessment results'!J134</x:f>
        <x:v>0.6942470776291796</x:v>
      </x:c>
    </x:row>
    <x:row r="6" ht="27" customHeight="1">
      <x:c r="A6" s="2" t="str">
        <x:v>2010</x:v>
      </x:c>
      <x:c r="B6" s="11" t="n">
        <x:f>'Assessment results'!J122</x:f>
        <x:v>0.7811520774295921</x:v>
      </x:c>
      <x:c r="C6" s="11" t="n">
        <x:f>'Assessment results'!J136</x:f>
        <x:v>0.6249297154373527</x:v>
      </x:c>
    </x:row>
    <x:row r="7" ht="27" customHeight="1">
      <x:c r="A7" s="2" t="str">
        <x:v>2011</x:v>
      </x:c>
      <x:c r="B7" s="11" t="n">
        <x:f>'Assessment results'!J124</x:f>
        <x:v>0.6451187799877715</x:v>
      </x:c>
      <x:c r="C7" s="11" t="n">
        <x:f>'Assessment results'!J138</x:f>
        <x:v>0.7691528400668309</x:v>
      </x:c>
    </x:row>
    <x:row r="8" ht="27" customHeight="1">
      <x:c r="A8" s="2" t="str">
        <x:v>2012</x:v>
      </x:c>
      <x:c r="B8" s="11" t="n">
        <x:f>'Assessment results'!J126</x:f>
        <x:v>0.357135360780228</x:v>
      </x:c>
      <x:c r="C8" s="11" t="n">
        <x:f>'Assessment results'!J140</x:f>
        <x:v>0.2777647086948738</x:v>
      </x:c>
    </x:row>
    <x:row r="9" ht="27" customHeight="1">
      <x:c r="A9" s="2" t="str">
        <x:v>2013</x:v>
      </x:c>
      <x:c r="B9" s="11" t="n">
        <x:f>'Assessment results'!J128</x:f>
        <x:v>0.4545454545454545</x:v>
      </x:c>
      <x:c r="C9" s="11" t="n">
        <x:f>'Assessment results'!J142</x:f>
        <x:v>0.5769138359009347</x:v>
      </x:c>
    </x:row>
    <x:row r="12" ht="24" customHeight="1">
      <x:c r="A12" s="12" t="str">
        <x:v>Both arms use real observations and the same2007–2013 period. 5 epochs, all nominal windows. Compare this pair directly, not against the 40-epoch baseline.</x:v>
      </x:c>
      <x:c r="B12" s="12"/>
      <x:c r="C12" s="12"/>
      <x:c r="D12" s="12"/>
      <x:c r="E12" s="12"/>
      <x:c r="F12" s="12"/>
      <x:c r="G12" s="12"/>
    </x:row>
    <x:row r="13" ht="24" customHeight="1">
      <x:c r="A13" s="12"/>
      <x:c r="B13" s="12"/>
      <x:c r="C13" s="12"/>
      <x:c r="D13" s="12"/>
      <x:c r="E13" s="12"/>
      <x:c r="F13" s="12"/>
      <x:c r="G13" s="12"/>
    </x:row>
  </x:sheetData>
  <x:mergeCells>
    <x:mergeCell ref="A12:G13"/>
  </x:mergeCells>
  <x:pageMargins left="0.7" right="0.7" top="0.75" bottom="0.75" header="0.3" footer="0.3"/>
  <x:drawing xmlns:r="http://schemas.openxmlformats.org/officeDocument/2006/relationships" r:id="Reb5dd46197984232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45" customHeight="1">
      <x:c r="A1" s="5" t="str">
        <x:v>Model</x:v>
      </x:c>
      <x:c r="B1" s="5" t="str">
        <x:v>Calibration F0.5</x:v>
      </x:c>
      <x:c r="C1" s="5" t="str">
        <x:v>Assessment F0.5</x:v>
      </x:c>
      <x:c r="D1" s="5" t="str">
        <x:v>Detected</x:v>
      </x:c>
      <x:c r="E1" s="5" t="str">
        <x:v>False events</x:v>
      </x:c>
      <x:c r="F1" s="5" t="str">
        <x:v>Missed</x:v>
      </x:c>
    </x:row>
    <x:row r="2" ht="27" customHeight="1">
      <x:c r="A2" s="2" t="str">
        <x:v>Persistence forecast</x:v>
      </x:c>
      <x:c r="B2" s="11" t="n">
        <x:f>'Assessment results'!I93</x:f>
        <x:v>0.057466377021867514</x:v>
      </x:c>
      <x:c r="C2" s="11" t="n">
        <x:f>'Assessment results'!J93</x:f>
        <x:v>0.04285214133258862</x:v>
      </x:c>
      <x:c r="D2" s="2" t="n">
        <x:f>'Assessment results'!M93</x:f>
        <x:v>3</x:v>
      </x:c>
      <x:c r="E2" s="2" t="n">
        <x:f>'Assessment results'!N93</x:f>
        <x:v>83</x:v>
      </x:c>
      <x:c r="F2" s="2" t="n">
        <x:f>'Assessment results'!O93</x:f>
        <x:v>3</x:v>
      </x:c>
    </x:row>
    <x:row r="3" ht="27" customHeight="1">
      <x:c r="A3" s="2" t="str">
        <x:v>MLP forecast</x:v>
      </x:c>
      <x:c r="B3" s="11" t="n">
        <x:f>'Assessment results'!I94</x:f>
        <x:v>0.06023610549530857</x:v>
      </x:c>
      <x:c r="C3" s="11" t="n">
        <x:f>'Assessment results'!J94</x:f>
        <x:v>0.08277370546073753</x:v>
      </x:c>
      <x:c r="D3" s="2" t="n">
        <x:f>'Assessment results'!M94</x:f>
        <x:v>5</x:v>
      </x:c>
      <x:c r="E3" s="2" t="n">
        <x:f>'Assessment results'!N94</x:f>
        <x:v>69</x:v>
      </x:c>
      <x:c r="F3" s="2" t="n">
        <x:f>'Assessment results'!O94</x:f>
        <x:v>1</x:v>
      </x:c>
    </x:row>
    <x:row r="4" ht="27" customHeight="1">
      <x:c r="A4" s="2" t="str">
        <x:v>Transformer forecast</x:v>
      </x:c>
      <x:c r="B4" s="11" t="n">
        <x:f>'Assessment results'!I95</x:f>
        <x:v>0.057466377021867514</x:v>
      </x:c>
      <x:c r="C4" s="11" t="n">
        <x:f>'Assessment results'!J95</x:f>
        <x:v>0.08669589964590999</x:v>
      </x:c>
      <x:c r="D4" s="2" t="n">
        <x:f>'Assessment results'!M95</x:f>
        <x:v>6</x:v>
      </x:c>
      <x:c r="E4" s="2" t="n">
        <x:f>'Assessment results'!N95</x:f>
        <x:v>79</x:v>
      </x:c>
      <x:c r="F4" s="2" t="n">
        <x:f>'Assessment results'!O95</x:f>
        <x:v>0</x:v>
      </x:c>
    </x:row>
    <x:row r="5" ht="27" customHeight="1">
      <x:c r="A5" s="2" t="str">
        <x:v>Residual Transformer forecast</x:v>
      </x:c>
      <x:c r="B5" s="11" t="n">
        <x:f>'Assessment results'!I96</x:f>
        <x:v>0.057466377021867514</x:v>
      </x:c>
      <x:c r="C5" s="11" t="n">
        <x:f>'Assessment results'!J96</x:f>
        <x:v>0.07061360462223898</x:v>
      </x:c>
      <x:c r="D5" s="2" t="n">
        <x:f>'Assessment results'!M96</x:f>
        <x:v>5</x:v>
      </x:c>
      <x:c r="E5" s="2" t="n">
        <x:f>'Assessment results'!N96</x:f>
        <x:v>82</x:v>
      </x:c>
      <x:c r="F5" s="2" t="n">
        <x:f>'Assessment results'!O96</x:f>
        <x:v>1</x:v>
      </x:c>
    </x:row>
    <x:row r="7" ht="25" customHeight="1">
      <x:c r="A7" s="12" t="str">
        <x:v>Same real Apr–Dec2003 assessment. Causal forecasts have a 256-sample warmup and differ from retrospective reconstruction.</x:v>
      </x:c>
      <x:c r="B7" s="12"/>
      <x:c r="C7" s="12"/>
      <x:c r="D7" s="12"/>
      <x:c r="E7" s="12"/>
      <x:c r="F7" s="12"/>
      <x:c r="G7" s="12"/>
    </x:row>
    <x:row r="8" ht="25" customHeight="1">
      <x:c r="A8" s="12"/>
      <x:c r="B8" s="12"/>
      <x:c r="C8" s="12"/>
      <x:c r="D8" s="12"/>
      <x:c r="E8" s="12"/>
      <x:c r="F8" s="12"/>
      <x:c r="G8" s="12"/>
    </x:row>
  </x:sheetData>
  <x:mergeCells>
    <x:mergeCell ref="A7:G8"/>
  </x:mergeCells>
  <x:pageMargins left="0.7" right="0.7" top="0.75" bottom="0.75" header="0.3" footer="0.3"/>
  <x:drawing xmlns:r="http://schemas.openxmlformats.org/officeDocument/2006/relationships" r:id="R0d5e7eeed8c24016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 ht="45" customHeight="1">
      <x:c r="A1" s="5" t="str">
        <x:v>Forecast model</x:v>
      </x:c>
      <x:c r="B1" s="5" t="str">
        <x:v>Original alarm F0.5</x:v>
      </x:c>
      <x:c r="C1" s="5" t="str">
        <x:v>Confirmed alarm F0.5</x:v>
      </x:c>
    </x:row>
    <x:row r="2" ht="27" customHeight="1">
      <x:c r="A2" s="2" t="str">
        <x:v>persistence</x:v>
      </x:c>
      <x:c r="B2" s="11" t="n">
        <x:f>'Assessment results'!J97</x:f>
        <x:v>0.04285214133258862</x:v>
      </x:c>
      <x:c r="C2" s="11" t="n">
        <x:f>'Assessment results'!J98</x:f>
        <x:v>0.2272718249250205</x:v>
      </x:c>
    </x:row>
    <x:row r="3" ht="27" customHeight="1">
      <x:c r="A3" s="2" t="str">
        <x:v>mlp</x:v>
      </x:c>
      <x:c r="B3" s="11" t="n">
        <x:f>'Assessment results'!J99</x:f>
        <x:v>0.08277370546073753</x:v>
      </x:c>
      <x:c r="C3" s="11" t="n">
        <x:f>'Assessment results'!J100</x:f>
        <x:v>0.23254691994702262</x:v>
      </x:c>
    </x:row>
    <x:row r="4" ht="27" customHeight="1">
      <x:c r="A4" s="2" t="str">
        <x:v>transformer</x:v>
      </x:c>
      <x:c r="B4" s="11" t="n">
        <x:f>'Assessment results'!J101</x:f>
        <x:v>0.08669589964590999</x:v>
      </x:c>
      <x:c r="C4" s="11" t="n">
        <x:f>'Assessment results'!J102</x:f>
        <x:v>0.11903802518467316</x:v>
      </x:c>
    </x:row>
    <x:row r="6" ht="25" customHeight="1">
      <x:c r="A6" s="12" t="str">
        <x:v>Same real Apr–Dec2003 observations and fixed forecast models. Confirmation policy selects repeated hits on calibration only.</x:v>
      </x:c>
      <x:c r="B6" s="12"/>
      <x:c r="C6" s="12"/>
      <x:c r="D6" s="12"/>
      <x:c r="E6" s="12"/>
      <x:c r="F6" s="12"/>
      <x:c r="G6" s="12"/>
    </x:row>
    <x:row r="7" ht="25" customHeight="1">
      <x:c r="A7" s="12"/>
      <x:c r="B7" s="12"/>
      <x:c r="C7" s="12"/>
      <x:c r="D7" s="12"/>
      <x:c r="E7" s="12"/>
      <x:c r="F7" s="12"/>
      <x:c r="G7" s="12"/>
    </x:row>
  </x:sheetData>
  <x:mergeCells>
    <x:mergeCell ref="A6:G7"/>
  </x:mergeCells>
  <x:pageMargins left="0.7" right="0.7" top="0.75" bottom="0.75" header="0.3" footer="0.3"/>
  <x:drawing xmlns:r="http://schemas.openxmlformats.org/officeDocument/2006/relationships" r:id="R9a3d781c77c840a2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5" hidden="0" customWidth="1"/>
    <x:col min="3" max="3" width="25" hidden="0" customWidth="1"/>
    <x:col min="4" max="4" width="27" hidden="0" customWidth="1"/>
  </x:cols>
  <x:sheetData>
    <x:row r="1" ht="45" customHeight="1">
      <x:c r="A1" s="5" t="str">
        <x:v>Assessment period</x:v>
      </x:c>
      <x:c r="B1" s="5" t="str">
        <x:v>Baseline F0.5</x:v>
      </x:c>
      <x:c r="C1" s="5" t="str">
        <x:v>Specialist F0.5</x:v>
      </x:c>
      <x:c r="D1" s="5" t="str">
        <x:v>OR combination F0.5</x:v>
      </x:c>
    </x:row>
    <x:row r="2" ht="27" customHeight="1">
      <x:c r="A2" s="2" t="str">
        <x:v>2003 Apr–Dec</x:v>
      </x:c>
      <x:c r="B2" s="11" t="n">
        <x:f>'Assessment results'!J2</x:f>
        <x:v>0.8331698402429286</x:v>
      </x:c>
      <x:c r="C2" s="11" t="n">
        <x:f>'Assessment results'!J11</x:f>
        <x:v>0.16658880216667565</x:v>
      </x:c>
      <x:c r="D2" s="11" t="n">
        <x:f>'Assessment results'!J14</x:f>
        <x:v>0.4996806919987219</x:v>
      </x:c>
    </x:row>
    <x:row r="3" ht="27" customHeight="1">
      <x:c r="A3" s="2" t="str">
        <x:v>2004 Apr–Dec</x:v>
      </x:c>
      <x:c r="B3" s="11" t="n">
        <x:f>'Assessment results'!J3</x:f>
        <x:v>0.42813074712147803</x:v>
      </x:c>
      <x:c r="C3" s="11" t="n">
        <x:f>'Assessment results'!J12</x:f>
        <x:v>0.7692211622038211</x:v>
      </x:c>
      <x:c r="D3" s="11" t="n">
        <x:f>'Assessment results'!J15</x:f>
        <x:v>0.42813074712147803</x:v>
      </x:c>
    </x:row>
    <x:row r="4" ht="27" customHeight="1">
      <x:c r="A4" s="2" t="str">
        <x:v>2005 Apr–Dec</x:v>
      </x:c>
      <x:c r="B4" s="11" t="n">
        <x:f>'Assessment results'!J4</x:f>
        <x:v>0.8690551788198424</x:v>
      </x:c>
      <x:c r="C4" s="11" t="n">
        <x:f>'Assessment results'!J13</x:f>
        <x:v>0.7406413572534629</x:v>
      </x:c>
      <x:c r="D4" s="11" t="n">
        <x:f>'Assessment results'!J16</x:f>
        <x:v>0.8690551788198424</x:v>
      </x:c>
    </x:row>
    <x:row r="6" ht="25" customHeight="1">
      <x:c r="A6" s="12" t="str">
        <x:v>Same real assessment per fold. Calibration enables or disables the specialist. No yearly hindsight choice of the best detector.</x:v>
      </x:c>
      <x:c r="B6" s="12"/>
      <x:c r="C6" s="12"/>
      <x:c r="D6" s="12"/>
      <x:c r="E6" s="12"/>
      <x:c r="F6" s="12"/>
      <x:c r="G6" s="12"/>
    </x:row>
    <x:row r="7" ht="25" customHeight="1">
      <x:c r="A7" s="12"/>
      <x:c r="B7" s="12"/>
      <x:c r="C7" s="12"/>
      <x:c r="D7" s="12"/>
      <x:c r="E7" s="12"/>
      <x:c r="F7" s="12"/>
      <x:c r="G7" s="12"/>
    </x:row>
  </x:sheetData>
  <x:mergeCells>
    <x:mergeCell ref="A6:G7"/>
  </x:mergeCells>
  <x:pageMargins left="0.7" right="0.7" top="0.75" bottom="0.75" header="0.3" footer="0.3"/>
  <x:drawing xmlns:r="http://schemas.openxmlformats.org/officeDocument/2006/relationships" r:id="R0e9c727be44c407f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5" hidden="0" customWidth="1"/>
    <x:col min="3" max="3" width="25" hidden="0" customWidth="1"/>
  </x:cols>
  <x:sheetData>
    <x:row r="1" ht="45" customHeight="1">
      <x:c r="A1" s="5" t="str">
        <x:v>Scoring method</x:v>
      </x:c>
      <x:c r="B1" s="5" t="str">
        <x:v>Calibration F0.5</x:v>
      </x:c>
      <x:c r="C1" s="5" t="str">
        <x:v>Assessment F0.5</x:v>
      </x:c>
    </x:row>
    <x:row r="2" ht="27" customHeight="1">
      <x:c r="A2" s="2" t="str">
        <x:v>Window-mean scoring</x:v>
      </x:c>
      <x:c r="B2" s="11" t="n">
        <x:f>'Assessment results'!I144</x:f>
        <x:v>0.8821092202390165</x:v>
      </x:c>
      <x:c r="C2" s="11" t="n">
        <x:f>'Assessment results'!J144</x:f>
        <x:v>0.761655319383663</x:v>
      </x:c>
    </x:row>
    <x:row r="3" ht="27" customHeight="1">
      <x:c r="A3" s="2" t="str">
        <x:v>Per-timestep scoring</x:v>
      </x:c>
      <x:c r="B3" s="11" t="n">
        <x:f>'Assessment results'!I145</x:f>
        <x:v>0.5881882411136136</x:v>
      </x:c>
      <x:c r="C3" s="11" t="n">
        <x:f>'Assessment results'!J145</x:f>
        <x:v>0.6717904060446175</x:v>
      </x:c>
    </x:row>
    <x:row r="5" ht="22" customHeight="1">
      <x:c r="A5" s="12" t="str">
        <x:v>Same historical model. Q4 2006 calibration. Real 2007–2013 assessment includes Jan 1,2014 boundary sample. This differs from the current half-open full-period protocol.</x:v>
      </x:c>
      <x:c r="B5" s="12"/>
      <x:c r="C5" s="12"/>
      <x:c r="D5" s="12"/>
      <x:c r="E5" s="12"/>
      <x:c r="F5" s="12"/>
      <x:c r="G5" s="12"/>
    </x:row>
    <x:row r="6" ht="22" customHeight="1">
      <x:c r="A6" s="12"/>
      <x:c r="B6" s="12"/>
      <x:c r="C6" s="12"/>
      <x:c r="D6" s="12"/>
      <x:c r="E6" s="12"/>
      <x:c r="F6" s="12"/>
      <x:c r="G6" s="12"/>
    </x:row>
    <x:row r="7" ht="22" customHeight="1">
      <x:c r="A7" s="12"/>
      <x:c r="B7" s="12"/>
      <x:c r="C7" s="12"/>
      <x:c r="D7" s="12"/>
      <x:c r="E7" s="12"/>
      <x:c r="F7" s="12"/>
      <x:c r="G7" s="12"/>
    </x:row>
  </x:sheetData>
  <x:mergeCells>
    <x:mergeCell ref="A5:G7"/>
  </x:mergeCells>
  <x:pageMargins left="0.7" right="0.7" top="0.75" bottom="0.75" header="0.3" footer="0.3"/>
  <x:drawing xmlns:r="http://schemas.openxmlformats.org/officeDocument/2006/relationships" r:id="R3c4bb21abded40e8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7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95" hidden="0" customWidth="1"/>
  </x:cols>
  <x:sheetData>
    <x:row r="1" ht="45" customHeight="1">
      <x:c r="A1" s="5" t="str">
        <x:v>run</x:v>
      </x:c>
      <x:c r="B1" s="5" t="str">
        <x:v>channels</x:v>
      </x:c>
      <x:c r="C1" s="5" t="str">
        <x:v>epoch</x:v>
      </x:c>
      <x:c r="D1" s="5" t="str">
        <x:v>train_rows</x:v>
      </x:c>
      <x:c r="E1" s="5" t="str">
        <x:v>original_val_rows</x:v>
      </x:c>
      <x:c r="F1" s="5" t="str">
        <x:v>calibration_start</x:v>
      </x:c>
      <x:c r="G1" s="5" t="str">
        <x:v>calibration_end</x:v>
      </x:c>
      <x:c r="H1" s="5" t="str">
        <x:v>assessment_start</x:v>
      </x:c>
      <x:c r="I1" s="5" t="str">
        <x:v>assessment_end</x:v>
      </x:c>
      <x:c r="J1" s="5" t="str">
        <x:v>boundary</x:v>
      </x:c>
      <x:c r="K1" s="5" t="str">
        <x:v>calibration_f05</x:v>
      </x:c>
      <x:c r="L1" s="5" t="str">
        <x:v>F05</x:v>
      </x:c>
      <x:c r="M1" s="5" t="str">
        <x:v>precision</x:v>
      </x:c>
      <x:c r="N1" s="5" t="str">
        <x:v>recall</x:v>
      </x:c>
      <x:c r="O1" s="5" t="str">
        <x:v>TP</x:v>
      </x:c>
      <x:c r="P1" s="5" t="str">
        <x:v>FP</x:v>
      </x:c>
      <x:c r="Q1" s="5" t="str">
        <x:v>FN</x:v>
      </x:c>
      <x:c r="R1" s="5" t="str">
        <x:v>metric</x:v>
      </x:c>
      <x:c r="S1" s="5" t="str">
        <x:v>source</x:v>
      </x:c>
      <x:c r="T1" s="5" t="str">
        <x:v>notes</x:v>
      </x:c>
    </x:row>
    <x:row r="2" ht="42" customHeight="1">
      <x:c r="A2" s="6" t="str">
        <x:v>block_ch08_01_08</x:v>
      </x:c>
      <x:c r="B2" s="6" t="str">
        <x:v>1, 2, 3, 4, 5, 6, 7, 8</x:v>
      </x:c>
      <x:c r="C2" s="6" t="n">
        <x:v>5</x:v>
      </x:c>
      <x:c r="D2" s="6" t="n">
        <x:v>5891328</x:v>
      </x:c>
      <x:c r="E2" s="6" t="n">
        <x:v>1472833</x:v>
      </x:c>
      <x:c r="F2" s="8" t="n">
        <x:v>38991</x:v>
      </x:c>
      <x:c r="G2" s="8" t="n">
        <x:v>39083</x:v>
      </x:c>
      <x:c r="H2" s="8" t="n">
        <x:v>39083</x:v>
      </x:c>
      <x:c r="I2" s="8" t="n">
        <x:v>41640</x:v>
      </x:c>
      <x:c r="J2" s="6" t="str">
        <x:v>Final boundary sample included</x:v>
      </x:c>
      <x:c r="K2" s="9" t="n">
        <x:v>0.5555555555555556</x:v>
      </x:c>
      <x:c r="L2" s="9" t="n">
        <x:v>0.4402350066703067</x:v>
      </x:c>
      <x:c r="M2" s="9" t="n">
        <x:v>0.8234569592940028</x:v>
      </x:c>
      <x:c r="N2" s="9" t="n">
        <x:v>0.15384615384615385</x:v>
      </x:c>
      <x:c r="O2" s="6" t="n">
        <x:v>14</x:v>
      </x:c>
      <x:c r="P2" s="6" t="n">
        <x:v>3</x:v>
      </x:c>
      <x:c r="Q2" s="6" t="n">
        <x:v>77</x:v>
      </x:c>
      <x:c r="R2" s="6" t="str">
        <x:v>esa-ew-id-duration-v1</x:v>
      </x:c>
      <x:c r="S2" s="6" t="str">
        <x:v>S093</x:v>
      </x:c>
      <x:c r="T2" s="6" t="str">
        <x:v>Historical weights and checkpoint selection. Q4 recalibration does not undo original selection. Training dates not re-established. Exploratory only.</x:v>
      </x:c>
    </x:row>
    <x:row r="3" ht="42" customHeight="1">
      <x:c r="A3" s="6" t="str">
        <x:v>block_ch08_17_24</x:v>
      </x:c>
      <x:c r="B3" s="6" t="str">
        <x:v>17, 18, 19, 20, 21, 22, 23, 24</x:v>
      </x:c>
      <x:c r="C3" s="6" t="n">
        <x:v>10</x:v>
      </x:c>
      <x:c r="D3" s="6" t="n">
        <x:v>5891328</x:v>
      </x:c>
      <x:c r="E3" s="6" t="n">
        <x:v>1472833</x:v>
      </x:c>
      <x:c r="F3" s="8" t="n">
        <x:v>38991</x:v>
      </x:c>
      <x:c r="G3" s="8" t="n">
        <x:v>39083</x:v>
      </x:c>
      <x:c r="H3" s="8" t="n">
        <x:v>39083</x:v>
      </x:c>
      <x:c r="I3" s="8" t="n">
        <x:v>41640</x:v>
      </x:c>
      <x:c r="J3" s="6" t="str">
        <x:v>Final boundary sample included</x:v>
      </x:c>
      <x:c r="K3" s="9" t="n">
        <x:v>0.2940360148667204</x:v>
      </x:c>
      <x:c r="L3" s="9" t="n">
        <x:v>0.147313554322288</x:v>
      </x:c>
      <x:c r="M3" s="9" t="n">
        <x:v>0.12425752989065553</x:v>
      </x:c>
      <x:c r="N3" s="9" t="n">
        <x:v>0.5714285714285714</x:v>
      </x:c>
      <x:c r="O3" s="6" t="n">
        <x:v>52</x:v>
      </x:c>
      <x:c r="P3" s="6" t="n">
        <x:v>220</x:v>
      </x:c>
      <x:c r="Q3" s="6" t="n">
        <x:v>39</x:v>
      </x:c>
      <x:c r="R3" s="6" t="str">
        <x:v>esa-ew-id-duration-v1</x:v>
      </x:c>
      <x:c r="S3" s="6" t="str">
        <x:v>S093</x:v>
      </x:c>
      <x:c r="T3" s="6" t="str">
        <x:v>Historical weights and checkpoint selection. Q4 recalibration does not undo original selection. Training dates not re-established. Exploratory only.</x:v>
      </x:c>
    </x:row>
    <x:row r="4" ht="42" customHeight="1">
      <x:c r="A4" s="6" t="str">
        <x:v>block_ch08_33_40</x:v>
      </x:c>
      <x:c r="B4" s="6" t="str">
        <x:v>33, 34, 35, 36, 37, 38, 39, 40</x:v>
      </x:c>
      <x:c r="C4" s="6" t="n">
        <x:v>5</x:v>
      </x:c>
      <x:c r="D4" s="6" t="n">
        <x:v>5891328</x:v>
      </x:c>
      <x:c r="E4" s="6" t="n">
        <x:v>1472833</x:v>
      </x:c>
      <x:c r="F4" s="8" t="n">
        <x:v>38991</x:v>
      </x:c>
      <x:c r="G4" s="8" t="n">
        <x:v>39083</x:v>
      </x:c>
      <x:c r="H4" s="8" t="n">
        <x:v>39083</x:v>
      </x:c>
      <x:c r="I4" s="8" t="n">
        <x:v>41640</x:v>
      </x:c>
      <x:c r="J4" s="6" t="str">
        <x:v>Final boundary sample included</x:v>
      </x:c>
      <x:c r="K4" s="9" t="n">
        <x:v>0.2939271425692399</x:v>
      </x:c>
      <x:c r="L4" s="9" t="n">
        <x:v>0.2148063768168517</x:v>
      </x:c>
      <x:c r="M4" s="9" t="n">
        <x:v>0.19417187486310591</x:v>
      </x:c>
      <x:c r="N4" s="9" t="n">
        <x:v>0.37362637362637363</x:v>
      </x:c>
      <x:c r="O4" s="6" t="n">
        <x:v>34</x:v>
      </x:c>
      <x:c r="P4" s="6" t="n">
        <x:v>99</x:v>
      </x:c>
      <x:c r="Q4" s="6" t="n">
        <x:v>57</x:v>
      </x:c>
      <x:c r="R4" s="6" t="str">
        <x:v>esa-ew-id-duration-v1</x:v>
      </x:c>
      <x:c r="S4" s="6" t="str">
        <x:v>S093</x:v>
      </x:c>
      <x:c r="T4" s="6" t="str">
        <x:v>Historical weights and checkpoint selection. Q4 recalibration does not undo original selection. Training dates not re-established. Exploratory only.</x:v>
      </x:c>
    </x:row>
    <x:row r="5" ht="42" customHeight="1">
      <x:c r="A5" s="6" t="str">
        <x:v>center_ch08_40_47</x:v>
      </x:c>
      <x:c r="B5" s="6" t="str">
        <x:v>40, 41, 42, 43, 44, 45, 46, 47</x:v>
      </x:c>
      <x:c r="C5" s="6" t="n">
        <x:v>15</x:v>
      </x:c>
      <x:c r="D5" s="6" t="n">
        <x:v>5891328</x:v>
      </x:c>
      <x:c r="E5" s="6" t="n">
        <x:v>1472833</x:v>
      </x:c>
      <x:c r="F5" s="8" t="n">
        <x:v>38991</x:v>
      </x:c>
      <x:c r="G5" s="8" t="n">
        <x:v>39083</x:v>
      </x:c>
      <x:c r="H5" s="8" t="n">
        <x:v>39083</x:v>
      </x:c>
      <x:c r="I5" s="8" t="n">
        <x:v>41640</x:v>
      </x:c>
      <x:c r="J5" s="6" t="str">
        <x:v>Final boundary sample included</x:v>
      </x:c>
      <x:c r="K5" s="9" t="n">
        <x:v>0.8799026019384373</x:v>
      </x:c>
      <x:c r="L5" s="9" t="n">
        <x:v>0.7733248189582219</x:v>
      </x:c>
      <x:c r="M5" s="9" t="n">
        <x:v>0.9984701022134953</x:v>
      </x:c>
      <x:c r="N5" s="9" t="n">
        <x:v>0.4065934065934066</x:v>
      </x:c>
      <x:c r="O5" s="6" t="n">
        <x:v>37</x:v>
      </x:c>
      <x:c r="P5" s="6" t="n">
        <x:v>0</x:v>
      </x:c>
      <x:c r="Q5" s="6" t="n">
        <x:v>54</x:v>
      </x:c>
      <x:c r="R5" s="6" t="str">
        <x:v>esa-ew-id-duration-v1</x:v>
      </x:c>
      <x:c r="S5" s="6" t="str">
        <x:v>S093</x:v>
      </x:c>
      <x:c r="T5" s="6" t="str">
        <x:v>Historical weights and checkpoint selection. Q4 recalibration does not undo original selection. Training dates not re-established. Exploratory only.</x:v>
      </x:c>
    </x:row>
    <x:row r="6" ht="42" customHeight="1">
      <x:c r="A6" s="6" t="str">
        <x:v>center_ch12_38_49</x:v>
      </x:c>
      <x:c r="B6" s="6" t="str">
        <x:v>38, 39, 40, 41, 42, 43, 44, 45, 46, 47, 48, 49</x:v>
      </x:c>
      <x:c r="C6" s="6" t="n">
        <x:v>30</x:v>
      </x:c>
      <x:c r="D6" s="6" t="n">
        <x:v>5891328</x:v>
      </x:c>
      <x:c r="E6" s="6" t="n">
        <x:v>1472833</x:v>
      </x:c>
      <x:c r="F6" s="8" t="n">
        <x:v>38991</x:v>
      </x:c>
      <x:c r="G6" s="8" t="n">
        <x:v>39083</x:v>
      </x:c>
      <x:c r="H6" s="8" t="n">
        <x:v>39083</x:v>
      </x:c>
      <x:c r="I6" s="8" t="n">
        <x:v>41640</x:v>
      </x:c>
      <x:c r="J6" s="6" t="str">
        <x:v>Final boundary sample included</x:v>
      </x:c>
      <x:c r="K6" s="9" t="n">
        <x:v>0.8799026019384373</x:v>
      </x:c>
      <x:c r="L6" s="9" t="n">
        <x:v>0.5558454017723689</x:v>
      </x:c>
      <x:c r="M6" s="9" t="n">
        <x:v>0.5814775104263168</x:v>
      </x:c>
      <x:c r="N6" s="9" t="n">
        <x:v>0.4725274725274725</x:v>
      </x:c>
      <x:c r="O6" s="6" t="n">
        <x:v>43</x:v>
      </x:c>
      <x:c r="P6" s="6" t="n">
        <x:v>25</x:v>
      </x:c>
      <x:c r="Q6" s="6" t="n">
        <x:v>48</x:v>
      </x:c>
      <x:c r="R6" s="6" t="str">
        <x:v>esa-ew-id-duration-v1</x:v>
      </x:c>
      <x:c r="S6" s="6" t="str">
        <x:v>S093</x:v>
      </x:c>
      <x:c r="T6" s="6" t="str">
        <x:v>Historical weights and checkpoint selection. Q4 recalibration does not undo original selection. Training dates not re-established. Exploratory only.</x:v>
      </x:c>
    </x:row>
    <x:row r="7" ht="42" customHeight="1">
      <x:c r="A7" s="6" t="str">
        <x:v>clust_med_t03_6ch</x:v>
      </x:c>
      <x:c r="B7" s="6" t="str">
        <x:v>3, 5, 13, 29, 48, 57</x:v>
      </x:c>
      <x:c r="C7" s="6" t="n">
        <x:v>15</x:v>
      </x:c>
      <x:c r="D7" s="6" t="n">
        <x:v>5891328</x:v>
      </x:c>
      <x:c r="E7" s="6" t="n">
        <x:v>1472833</x:v>
      </x:c>
      <x:c r="F7" s="8" t="n">
        <x:v>38991</x:v>
      </x:c>
      <x:c r="G7" s="8" t="n">
        <x:v>39083</x:v>
      </x:c>
      <x:c r="H7" s="8" t="n">
        <x:v>39083</x:v>
      </x:c>
      <x:c r="I7" s="8" t="n">
        <x:v>41640</x:v>
      </x:c>
      <x:c r="J7" s="6" t="str">
        <x:v>Final boundary sample included</x:v>
      </x:c>
      <x:c r="K7" s="9" t="n">
        <x:v>0.5873641141599666</x:v>
      </x:c>
      <x:c r="L7" s="9" t="n">
        <x:v>0.19633611567859602</x:v>
      </x:c>
      <x:c r="M7" s="9" t="n">
        <x:v>0.16942411987982248</x:v>
      </x:c>
      <x:c r="N7" s="9" t="n">
        <x:v>0.5384615384615384</x:v>
      </x:c>
      <x:c r="O7" s="6" t="n">
        <x:v>49</x:v>
      </x:c>
      <x:c r="P7" s="6" t="n">
        <x:v>154</x:v>
      </x:c>
      <x:c r="Q7" s="6" t="n">
        <x:v>42</x:v>
      </x:c>
      <x:c r="R7" s="6" t="str">
        <x:v>esa-ew-id-duration-v1</x:v>
      </x:c>
      <x:c r="S7" s="6" t="str">
        <x:v>S093</x:v>
      </x:c>
      <x:c r="T7" s="6" t="str">
        <x:v>Historical weights and checkpoint selection. Q4 recalibration does not undo original selection. Training dates not re-established. Exploratory only.</x:v>
      </x:c>
    </x:row>
    <x:row r="8" ht="42" customHeight="1">
      <x:c r="A8" s="6" t="str">
        <x:v>clust_pair_t03_12ch</x:v>
      </x:c>
      <x:c r="B8" s="6" t="str">
        <x:v>1, 3, 5, 6, 13, 29, 38, 39, 42, 48, 57, 60</x:v>
      </x:c>
      <x:c r="C8" s="6" t="n">
        <x:v>15</x:v>
      </x:c>
      <x:c r="D8" s="6" t="n">
        <x:v>5891328</x:v>
      </x:c>
      <x:c r="E8" s="6" t="n">
        <x:v>1472833</x:v>
      </x:c>
      <x:c r="F8" s="8" t="n">
        <x:v>38991</x:v>
      </x:c>
      <x:c r="G8" s="8" t="n">
        <x:v>39083</x:v>
      </x:c>
      <x:c r="H8" s="8" t="n">
        <x:v>39083</x:v>
      </x:c>
      <x:c r="I8" s="8" t="n">
        <x:v>41640</x:v>
      </x:c>
      <x:c r="J8" s="6" t="str">
        <x:v>Final boundary sample included</x:v>
      </x:c>
      <x:c r="K8" s="9" t="n">
        <x:v>0.8799026019384373</x:v>
      </x:c>
      <x:c r="L8" s="9" t="n">
        <x:v>0.6752965466742926</x:v>
      </x:c>
      <x:c r="M8" s="9" t="n">
        <x:v>0.7033370893869756</x:v>
      </x:c>
      <x:c r="N8" s="9" t="n">
        <x:v>0.5824175824175825</x:v>
      </x:c>
      <x:c r="O8" s="6" t="n">
        <x:v>53</x:v>
      </x:c>
      <x:c r="P8" s="6" t="n">
        <x:v>6</x:v>
      </x:c>
      <x:c r="Q8" s="6" t="n">
        <x:v>38</x:v>
      </x:c>
      <x:c r="R8" s="6" t="str">
        <x:v>esa-ew-id-duration-v1</x:v>
      </x:c>
      <x:c r="S8" s="6" t="str">
        <x:v>S093</x:v>
      </x:c>
      <x:c r="T8" s="6" t="str">
        <x:v>Historical weights and checkpoint selection. Q4 recalibration does not undo original selection. Training dates not re-established. Exploratory only.</x:v>
      </x:c>
    </x:row>
    <x:row r="9" ht="42" customHeight="1">
      <x:c r="A9" s="6" t="str">
        <x:v>combo_ch16_01_16</x:v>
      </x:c>
      <x:c r="B9" s="6" t="str">
        <x:v>1, 2, 3, 4, 5, 6, 7, 8, 9, 10, 11, 12, 13, 14, 15, 16</x:v>
      </x:c>
      <x:c r="C9" s="6" t="n">
        <x:v>35</x:v>
      </x:c>
      <x:c r="D9" s="6" t="n">
        <x:v>5891328</x:v>
      </x:c>
      <x:c r="E9" s="6" t="n">
        <x:v>1472833</x:v>
      </x:c>
      <x:c r="F9" s="8" t="n">
        <x:v>38991</x:v>
      </x:c>
      <x:c r="G9" s="8" t="n">
        <x:v>39083</x:v>
      </x:c>
      <x:c r="H9" s="8" t="n">
        <x:v>39083</x:v>
      </x:c>
      <x:c r="I9" s="8" t="n">
        <x:v>41640</x:v>
      </x:c>
      <x:c r="J9" s="6" t="str">
        <x:v>Final boundary sample included</x:v>
      </x:c>
      <x:c r="K9" s="9" t="n">
        <x:v>0.5555555555555556</x:v>
      </x:c>
      <x:c r="L9" s="9" t="n">
        <x:v>0.40144785600504296</x:v>
      </x:c>
      <x:c r="M9" s="9" t="n">
        <x:v>0.4293233586671599</x:v>
      </x:c>
      <x:c r="N9" s="9" t="n">
        <x:v>0.31868131868131866</x:v>
      </x:c>
      <x:c r="O9" s="6" t="n">
        <x:v>29</x:v>
      </x:c>
      <x:c r="P9" s="6" t="n">
        <x:v>32</x:v>
      </x:c>
      <x:c r="Q9" s="6" t="n">
        <x:v>62</x:v>
      </x:c>
      <x:c r="R9" s="6" t="str">
        <x:v>esa-ew-id-duration-v1</x:v>
      </x:c>
      <x:c r="S9" s="6" t="str">
        <x:v>S093</x:v>
      </x:c>
      <x:c r="T9" s="6" t="str">
        <x:v>Historical weights and checkpoint selection. Q4 recalibration does not undo original selection. Training dates not re-established. Exploratory only.</x:v>
      </x:c>
    </x:row>
    <x:row r="10" ht="42" customHeight="1">
      <x:c r="A10" s="6" t="str">
        <x:v>combo_ch16_17_32</x:v>
      </x:c>
      <x:c r="B10" s="6" t="str">
        <x:v>17, 18, 19, 20, 21, 22, 23, 24, 25, 26, 27, 28, 29, 30, 31, 32</x:v>
      </x:c>
      <x:c r="C10" s="6" t="n">
        <x:v>5</x:v>
      </x:c>
      <x:c r="D10" s="6" t="n">
        <x:v>5891328</x:v>
      </x:c>
      <x:c r="E10" s="6" t="n">
        <x:v>1472833</x:v>
      </x:c>
      <x:c r="F10" s="8" t="n">
        <x:v>38991</x:v>
      </x:c>
      <x:c r="G10" s="8" t="n">
        <x:v>39083</x:v>
      </x:c>
      <x:c r="H10" s="8" t="n">
        <x:v>39083</x:v>
      </x:c>
      <x:c r="I10" s="8" t="n">
        <x:v>41640</x:v>
      </x:c>
      <x:c r="J10" s="6" t="str">
        <x:v>Final boundary sample included</x:v>
      </x:c>
      <x:c r="K10" s="9" t="n">
        <x:v>0.15121178720599665</x:v>
      </x:c>
      <x:c r="L10" s="9" t="n">
        <x:v>0.12275517889048643</x:v>
      </x:c>
      <x:c r="M10" s="9" t="n">
        <x:v>0.10511100008478742</x:v>
      </x:c>
      <x:c r="N10" s="9" t="n">
        <x:v>0.37362637362637363</x:v>
      </x:c>
      <x:c r="O10" s="6" t="n">
        <x:v>34</x:v>
      </x:c>
      <x:c r="P10" s="6" t="n">
        <x:v>249</x:v>
      </x:c>
      <x:c r="Q10" s="6" t="n">
        <x:v>57</x:v>
      </x:c>
      <x:c r="R10" s="6" t="str">
        <x:v>esa-ew-id-duration-v1</x:v>
      </x:c>
      <x:c r="S10" s="6" t="str">
        <x:v>S093</x:v>
      </x:c>
      <x:c r="T10" s="6" t="str">
        <x:v>Historical weights and checkpoint selection. Q4 recalibration does not undo original selection. Training dates not re-established. Exploratory only.</x:v>
      </x:c>
    </x:row>
    <x:row r="11" ht="42" customHeight="1">
      <x:c r="A11" s="6" t="str">
        <x:v>combo_ch16_29_44</x:v>
      </x:c>
      <x:c r="B11" s="6" t="str">
        <x:v>29, 30, 31, 32, 33, 34, 35, 36, 37, 38, 39, 40, 41, 42, 43, 44</x:v>
      </x:c>
      <x:c r="C11" s="6" t="n">
        <x:v>5</x:v>
      </x:c>
      <x:c r="D11" s="6" t="n">
        <x:v>5891328</x:v>
      </x:c>
      <x:c r="E11" s="6" t="n">
        <x:v>1472833</x:v>
      </x:c>
      <x:c r="F11" s="8" t="n">
        <x:v>38991</x:v>
      </x:c>
      <x:c r="G11" s="8" t="n">
        <x:v>39083</x:v>
      </x:c>
      <x:c r="H11" s="8" t="n">
        <x:v>39083</x:v>
      </x:c>
      <x:c r="I11" s="8" t="n">
        <x:v>41640</x:v>
      </x:c>
      <x:c r="J11" s="6" t="str">
        <x:v>Final boundary sample included</x:v>
      </x:c>
      <x:c r="K11" s="9" t="n">
        <x:v>0.8799026019384373</x:v>
      </x:c>
      <x:c r="L11" s="9" t="n">
        <x:v>0.7101160643580546</x:v>
      </x:c>
      <x:c r="M11" s="9" t="n">
        <x:v>0.8296017999141863</x:v>
      </x:c>
      <x:c r="N11" s="9" t="n">
        <x:v>0.45054945054945056</x:v>
      </x:c>
      <x:c r="O11" s="6" t="n">
        <x:v>41</x:v>
      </x:c>
      <x:c r="P11" s="6" t="n">
        <x:v>3</x:v>
      </x:c>
      <x:c r="Q11" s="6" t="n">
        <x:v>50</x:v>
      </x:c>
      <x:c r="R11" s="6" t="str">
        <x:v>esa-ew-id-duration-v1</x:v>
      </x:c>
      <x:c r="S11" s="6" t="str">
        <x:v>S093</x:v>
      </x:c>
      <x:c r="T11" s="6" t="str">
        <x:v>Historical weights and checkpoint selection. Q4 recalibration does not undo original selection. Training dates not re-established. Exploratory only.</x:v>
      </x:c>
    </x:row>
    <x:row r="12" ht="42" customHeight="1">
      <x:c r="A12" s="6" t="str">
        <x:v>combo_ch24_17_40</x:v>
      </x:c>
      <x:c r="B12" s="6" t="str">
        <x:v>17, 18, 19, 20, 21, 22, 23, 24, 25, 26, 27, 28, 29, 30, 31, 32, 33, 34, 35, 36, 37, 38, 39, 40</x:v>
      </x:c>
      <x:c r="C12" s="6" t="n">
        <x:v>5</x:v>
      </x:c>
      <x:c r="D12" s="6" t="n">
        <x:v>5891328</x:v>
      </x:c>
      <x:c r="E12" s="6" t="n">
        <x:v>1472833</x:v>
      </x:c>
      <x:c r="F12" s="8" t="n">
        <x:v>38991</x:v>
      </x:c>
      <x:c r="G12" s="8" t="n">
        <x:v>39083</x:v>
      </x:c>
      <x:c r="H12" s="8" t="n">
        <x:v>39083</x:v>
      </x:c>
      <x:c r="I12" s="8" t="n">
        <x:v>41640</x:v>
      </x:c>
      <x:c r="J12" s="6" t="str">
        <x:v>Final boundary sample included</x:v>
      </x:c>
      <x:c r="K12" s="9" t="n">
        <x:v>0.38452231738454634</x:v>
      </x:c>
      <x:c r="L12" s="9" t="n">
        <x:v>0.1301722863365769</x:v>
      </x:c>
      <x:c r="M12" s="9" t="n">
        <x:v>0.11169866584010013</x:v>
      </x:c>
      <x:c r="N12" s="9" t="n">
        <x:v>0.38461538461538464</x:v>
      </x:c>
      <x:c r="O12" s="6" t="n">
        <x:v>35</x:v>
      </x:c>
      <x:c r="P12" s="6" t="n">
        <x:v>233</x:v>
      </x:c>
      <x:c r="Q12" s="6" t="n">
        <x:v>56</x:v>
      </x:c>
      <x:c r="R12" s="6" t="str">
        <x:v>esa-ew-id-duration-v1</x:v>
      </x:c>
      <x:c r="S12" s="6" t="str">
        <x:v>S093</x:v>
      </x:c>
      <x:c r="T12" s="6" t="str">
        <x:v>Historical weights and checkpoint selection. Q4 recalibration does not undo original selection. Training dates not re-established. Exploratory only.</x:v>
      </x:c>
    </x:row>
    <x:row r="13" ht="42" customHeight="1">
      <x:c r="A13" s="6" t="str">
        <x:v>corr_ch12_41_52</x:v>
      </x:c>
      <x:c r="B13" s="6" t="str">
        <x:v>41, 42, 43, 44, 45, 46, 47, 48, 49, 50, 51, 52</x:v>
      </x:c>
      <x:c r="C13" s="6" t="n">
        <x:v>25</x:v>
      </x:c>
      <x:c r="D13" s="6" t="n">
        <x:v>5891328</x:v>
      </x:c>
      <x:c r="E13" s="6" t="n">
        <x:v>1472833</x:v>
      </x:c>
      <x:c r="F13" s="8" t="n">
        <x:v>38991</x:v>
      </x:c>
      <x:c r="G13" s="8" t="n">
        <x:v>39083</x:v>
      </x:c>
      <x:c r="H13" s="8" t="n">
        <x:v>39083</x:v>
      </x:c>
      <x:c r="I13" s="8" t="n">
        <x:v>41640</x:v>
      </x:c>
      <x:c r="J13" s="6" t="str">
        <x:v>Final boundary sample included</x:v>
      </x:c>
      <x:c r="K13" s="9" t="n">
        <x:v>0.8799026019384373</x:v>
      </x:c>
      <x:c r="L13" s="9" t="n">
        <x:v>0.7652418847247926</x:v>
      </x:c>
      <x:c r="M13" s="9" t="n">
        <x:v>0.998476327145772</x:v>
      </x:c>
      <x:c r="N13" s="9" t="n">
        <x:v>0.3956043956043956</x:v>
      </x:c>
      <x:c r="O13" s="6" t="n">
        <x:v>36</x:v>
      </x:c>
      <x:c r="P13" s="6" t="n">
        <x:v>0</x:v>
      </x:c>
      <x:c r="Q13" s="6" t="n">
        <x:v>55</x:v>
      </x:c>
      <x:c r="R13" s="6" t="str">
        <x:v>esa-ew-id-duration-v1</x:v>
      </x:c>
      <x:c r="S13" s="6" t="str">
        <x:v>S093</x:v>
      </x:c>
      <x:c r="T13" s="6" t="str">
        <x:v>Historical weights and checkpoint selection. Q4 recalibration does not undo original selection. Training dates not re-established. Exploratory only.</x:v>
      </x:c>
    </x:row>
    <x:row r="14" ht="42" customHeight="1">
      <x:c r="A14" s="6" t="str">
        <x:v>corr_ch19_17_35</x:v>
      </x:c>
      <x:c r="B14" s="6" t="str">
        <x:v>17, 18, 19, 20, 21, 22, 23, 24, 25, 26, 27, 28, 29, 30, 31, 32, 33, 34, 35</x:v>
      </x:c>
      <x:c r="C14" s="6" t="n">
        <x:v>5</x:v>
      </x:c>
      <x:c r="D14" s="6" t="n">
        <x:v>5891328</x:v>
      </x:c>
      <x:c r="E14" s="6" t="n">
        <x:v>1472833</x:v>
      </x:c>
      <x:c r="F14" s="8" t="n">
        <x:v>38991</x:v>
      </x:c>
      <x:c r="G14" s="8" t="n">
        <x:v>39083</x:v>
      </x:c>
      <x:c r="H14" s="8" t="n">
        <x:v>39083</x:v>
      </x:c>
      <x:c r="I14" s="8" t="n">
        <x:v>41640</x:v>
      </x:c>
      <x:c r="J14" s="6" t="str">
        <x:v>Final boundary sample included</x:v>
      </x:c>
      <x:c r="K14" s="9" t="n">
        <x:v>0.08118750738209546</x:v>
      </x:c>
      <x:c r="L14" s="9" t="n">
        <x:v>0.05252262570454507</x:v>
      </x:c>
      <x:c r="M14" s="9" t="n">
        <x:v>0.04313244689955282</x:v>
      </x:c>
      <x:c r="N14" s="9" t="n">
        <x:v>0.4065934065934066</x:v>
      </x:c>
      <x:c r="O14" s="6" t="n">
        <x:v>37</x:v>
      </x:c>
      <x:c r="P14" s="6" t="n">
        <x:v>693</x:v>
      </x:c>
      <x:c r="Q14" s="6" t="n">
        <x:v>54</x:v>
      </x:c>
      <x:c r="R14" s="6" t="str">
        <x:v>esa-ew-id-duration-v1</x:v>
      </x:c>
      <x:c r="S14" s="6" t="str">
        <x:v>S093</x:v>
      </x:c>
      <x:c r="T14" s="6" t="str">
        <x:v>Historical weights and checkpoint selection. Q4 recalibration does not undo original selection. Training dates not re-established. Exploratory only.</x:v>
      </x:c>
    </x:row>
    <x:row r="15" ht="42" customHeight="1">
      <x:c r="A15" s="6" t="str">
        <x:v>corr_ch24_12_35</x:v>
      </x:c>
      <x:c r="B15" s="6" t="str">
        <x:v>12, 13, 14, 15, 16, 17, 18, 19, 20, 21, 22, 23, 24, 25, 26, 27, 28, 29, 30, 31, 32, 33, 34, 35</x:v>
      </x:c>
      <x:c r="C15" s="6" t="n">
        <x:v>5</x:v>
      </x:c>
      <x:c r="D15" s="6" t="n">
        <x:v>5891328</x:v>
      </x:c>
      <x:c r="E15" s="6" t="n">
        <x:v>1472833</x:v>
      </x:c>
      <x:c r="F15" s="8" t="n">
        <x:v>38991</x:v>
      </x:c>
      <x:c r="G15" s="8" t="n">
        <x:v>39083</x:v>
      </x:c>
      <x:c r="H15" s="8" t="n">
        <x:v>39083</x:v>
      </x:c>
      <x:c r="I15" s="8" t="n">
        <x:v>41640</x:v>
      </x:c>
      <x:c r="J15" s="6" t="str">
        <x:v>Final boundary sample included</x:v>
      </x:c>
      <x:c r="K15" s="9" t="n">
        <x:v>0.5878821276993345</x:v>
      </x:c>
      <x:c r="L15" s="9" t="n">
        <x:v>0.16325481964103317</x:v>
      </x:c>
      <x:c r="M15" s="9" t="n">
        <x:v>0.14311015869091817</x:v>
      </x:c>
      <x:c r="N15" s="9" t="n">
        <x:v>0.37362637362637363</x:v>
      </x:c>
      <x:c r="O15" s="6" t="n">
        <x:v>34</x:v>
      </x:c>
      <x:c r="P15" s="6" t="n">
        <x:v>174</x:v>
      </x:c>
      <x:c r="Q15" s="6" t="n">
        <x:v>57</x:v>
      </x:c>
      <x:c r="R15" s="6" t="str">
        <x:v>esa-ew-id-duration-v1</x:v>
      </x:c>
      <x:c r="S15" s="6" t="str">
        <x:v>S093</x:v>
      </x:c>
      <x:c r="T15" s="6" t="str">
        <x:v>Historical weights and checkpoint selection. Q4 recalibration does not undo original selection. Training dates not re-established. Exploratory only.</x:v>
      </x:c>
    </x:row>
    <x:row r="16" ht="42" customHeight="1">
      <x:c r="A16" s="6" t="str">
        <x:v>corr_ch26_20_45</x:v>
      </x:c>
      <x:c r="B16" s="6" t="str">
        <x:v>20, 21, 22, 23, 24, 25, 26, 27, 28, 29, 30, 31, 32, 33, 34, 35, 36, 37, 38, 39, 40, 41, 42, 43, 44, 45</x:v>
      </x:c>
      <x:c r="C16" s="6" t="n">
        <x:v>5</x:v>
      </x:c>
      <x:c r="D16" s="6" t="n">
        <x:v>5891328</x:v>
      </x:c>
      <x:c r="E16" s="6" t="n">
        <x:v>1472833</x:v>
      </x:c>
      <x:c r="F16" s="8" t="n">
        <x:v>38991</x:v>
      </x:c>
      <x:c r="G16" s="8" t="n">
        <x:v>39083</x:v>
      </x:c>
      <x:c r="H16" s="8" t="n">
        <x:v>39083</x:v>
      </x:c>
      <x:c r="I16" s="8" t="n">
        <x:v>41640</x:v>
      </x:c>
      <x:c r="J16" s="6" t="str">
        <x:v>Final boundary sample included</x:v>
      </x:c>
      <x:c r="K16" s="9" t="n">
        <x:v>0.8799026019384373</x:v>
      </x:c>
      <x:c r="L16" s="9" t="n">
        <x:v>0.5395645974799141</x:v>
      </x:c>
      <x:c r="M16" s="9" t="n">
        <x:v>0.5556675213853626</x:v>
      </x:c>
      <x:c r="N16" s="9" t="n">
        <x:v>0.4835164835164835</x:v>
      </x:c>
      <x:c r="O16" s="6" t="n">
        <x:v>44</x:v>
      </x:c>
      <x:c r="P16" s="6" t="n">
        <x:v>28</x:v>
      </x:c>
      <x:c r="Q16" s="6" t="n">
        <x:v>47</x:v>
      </x:c>
      <x:c r="R16" s="6" t="str">
        <x:v>esa-ew-id-duration-v1</x:v>
      </x:c>
      <x:c r="S16" s="6" t="str">
        <x:v>S093</x:v>
      </x:c>
      <x:c r="T16" s="6" t="str">
        <x:v>Historical weights and checkpoint selection. Q4 recalibration does not undo original selection. Training dates not re-established. Exploratory only.</x:v>
      </x:c>
    </x:row>
    <x:row r="17" ht="42" customHeight="1">
      <x:c r="A17" s="6" t="str">
        <x:v>corr_ch29_12_40</x:v>
      </x:c>
      <x:c r="B17" s="6" t="str">
        <x:v>12, 13, 14, 15, 16, 17, 18, 19, 20, 21, 22, 23, 24, 25, 26, 27, 28, 29, 30, 31, 32, 33, 34, 35, 36, 37, 38, 39, 40</x:v>
      </x:c>
      <x:c r="C17" s="6" t="n">
        <x:v>5</x:v>
      </x:c>
      <x:c r="D17" s="6" t="n">
        <x:v>5891328</x:v>
      </x:c>
      <x:c r="E17" s="6" t="n">
        <x:v>1472833</x:v>
      </x:c>
      <x:c r="F17" s="8" t="n">
        <x:v>38991</x:v>
      </x:c>
      <x:c r="G17" s="8" t="n">
        <x:v>39083</x:v>
      </x:c>
      <x:c r="H17" s="8" t="n">
        <x:v>39083</x:v>
      </x:c>
      <x:c r="I17" s="8" t="n">
        <x:v>41640</x:v>
      </x:c>
      <x:c r="J17" s="6" t="str">
        <x:v>Final boundary sample included</x:v>
      </x:c>
      <x:c r="K17" s="9" t="n">
        <x:v>0.5877732345090992</x:v>
      </x:c>
      <x:c r="L17" s="9" t="n">
        <x:v>0.09613814889836436</x:v>
      </x:c>
      <x:c r="M17" s="9" t="n">
        <x:v>0.08095774557388993</x:v>
      </x:c>
      <x:c r="N17" s="9" t="n">
        <x:v>0.38461538461538464</x:v>
      </x:c>
      <x:c r="O17" s="6" t="n">
        <x:v>35</x:v>
      </x:c>
      <x:c r="P17" s="6" t="n">
        <x:v>328</x:v>
      </x:c>
      <x:c r="Q17" s="6" t="n">
        <x:v>56</x:v>
      </x:c>
      <x:c r="R17" s="6" t="str">
        <x:v>esa-ew-id-duration-v1</x:v>
      </x:c>
      <x:c r="S17" s="6" t="str">
        <x:v>S093</x:v>
      </x:c>
      <x:c r="T17" s="6" t="str">
        <x:v>Historical weights and checkpoint selection. Q4 recalibration does not undo original selection. Training dates not re-established. Exploratory only.</x:v>
      </x:c>
    </x:row>
    <x:row r="18" ht="42" customHeight="1">
      <x:c r="A18" s="6" t="str">
        <x:v>corr_neg_ch30_12_40_p61</x:v>
      </x:c>
      <x:c r="B18" s="6" t="str">
        <x:v>12, 13, 14, 15, 16, 17, 18, 19, 20, 21, 22, 23, 24, 25, 26, 27, 28, 29, 30, 31, 32, 33, 34, 35, 36, 37, 38, 39, 40, 61</x:v>
      </x:c>
      <x:c r="C18" s="6" t="n">
        <x:v>5</x:v>
      </x:c>
      <x:c r="D18" s="6" t="n">
        <x:v>5891328</x:v>
      </x:c>
      <x:c r="E18" s="6" t="n">
        <x:v>1472833</x:v>
      </x:c>
      <x:c r="F18" s="8" t="n">
        <x:v>38991</x:v>
      </x:c>
      <x:c r="G18" s="8" t="n">
        <x:v>39083</x:v>
      </x:c>
      <x:c r="H18" s="8" t="n">
        <x:v>39083</x:v>
      </x:c>
      <x:c r="I18" s="8" t="n">
        <x:v>41640</x:v>
      </x:c>
      <x:c r="J18" s="6" t="str">
        <x:v>Final boundary sample included</x:v>
      </x:c>
      <x:c r="K18" s="9" t="n">
        <x:v>0.5879365679973385</x:v>
      </x:c>
      <x:c r="L18" s="9" t="n">
        <x:v>0.2936665848988549</x:v>
      </x:c>
      <x:c r="M18" s="9" t="n">
        <x:v>0.2803371060415013</x:v>
      </x:c>
      <x:c r="N18" s="9" t="n">
        <x:v>0.3626373626373626</x:v>
      </x:c>
      <x:c r="O18" s="6" t="n">
        <x:v>33</x:v>
      </x:c>
      <x:c r="P18" s="6" t="n">
        <x:v>71</x:v>
      </x:c>
      <x:c r="Q18" s="6" t="n">
        <x:v>58</x:v>
      </x:c>
      <x:c r="R18" s="6" t="str">
        <x:v>esa-ew-id-duration-v1</x:v>
      </x:c>
      <x:c r="S18" s="6" t="str">
        <x:v>S093</x:v>
      </x:c>
      <x:c r="T18" s="6" t="str">
        <x:v>Historical weights and checkpoint selection. Q4 recalibration does not undo original selection. Training dates not re-established. Exploratory only.</x:v>
      </x:c>
    </x:row>
    <x:row r="19" ht="42" customHeight="1">
      <x:c r="A19" s="6" t="str">
        <x:v>fed_ch06_41_46</x:v>
      </x:c>
      <x:c r="B19" s="6" t="str">
        <x:v>41, 42, 43, 44, 45, 46</x:v>
      </x:c>
      <x:c r="C19" s="6" t="n">
        <x:v>10</x:v>
      </x:c>
      <x:c r="D19" s="6" t="n">
        <x:v>5891328</x:v>
      </x:c>
      <x:c r="E19" s="6" t="n">
        <x:v>1472833</x:v>
      </x:c>
      <x:c r="F19" s="8" t="n">
        <x:v>38991</x:v>
      </x:c>
      <x:c r="G19" s="8" t="n">
        <x:v>39083</x:v>
      </x:c>
      <x:c r="H19" s="8" t="n">
        <x:v>39083</x:v>
      </x:c>
      <x:c r="I19" s="8" t="n">
        <x:v>41640</x:v>
      </x:c>
      <x:c r="J19" s="6" t="str">
        <x:v>Final boundary sample included</x:v>
      </x:c>
      <x:c r="K19" s="9" t="n">
        <x:v>0.8799026019384373</x:v>
      </x:c>
      <x:c r="L19" s="9" t="n">
        <x:v>0.7568791180128019</x:v>
      </x:c>
      <x:c r="M19" s="9" t="n">
        <x:v>0.9984836253943762</x:v>
      </x:c>
      <x:c r="N19" s="9" t="n">
        <x:v>0.38461538461538464</x:v>
      </x:c>
      <x:c r="O19" s="6" t="n">
        <x:v>35</x:v>
      </x:c>
      <x:c r="P19" s="6" t="n">
        <x:v>0</x:v>
      </x:c>
      <x:c r="Q19" s="6" t="n">
        <x:v>56</x:v>
      </x:c>
      <x:c r="R19" s="6" t="str">
        <x:v>esa-ew-id-duration-v1</x:v>
      </x:c>
      <x:c r="S19" s="6" t="str">
        <x:v>S093</x:v>
      </x:c>
      <x:c r="T19" s="6" t="str">
        <x:v>Historical weights and checkpoint selection. Q4 recalibration does not undo original selection. Training dates not re-established. Exploratory only.</x:v>
      </x:c>
    </x:row>
    <x:row r="20" ht="42" customHeight="1">
      <x:c r="A20" s="6" t="str">
        <x:v>fine_ch08_03_10</x:v>
      </x:c>
      <x:c r="B20" s="6" t="str">
        <x:v>3, 4, 5, 6, 7, 8, 9, 10</x:v>
      </x:c>
      <x:c r="C20" s="6" t="n">
        <x:v>5</x:v>
      </x:c>
      <x:c r="D20" s="6" t="n">
        <x:v>5891328</x:v>
      </x:c>
      <x:c r="E20" s="6" t="n">
        <x:v>1472833</x:v>
      </x:c>
      <x:c r="F20" s="8" t="n">
        <x:v>38991</x:v>
      </x:c>
      <x:c r="G20" s="8" t="n">
        <x:v>39083</x:v>
      </x:c>
      <x:c r="H20" s="8" t="n">
        <x:v>39083</x:v>
      </x:c>
      <x:c r="I20" s="8" t="n">
        <x:v>41640</x:v>
      </x:c>
      <x:c r="J20" s="6" t="str">
        <x:v>Final boundary sample included</x:v>
      </x:c>
      <x:c r="K20" s="9" t="n">
        <x:v>0.5555555555555556</x:v>
      </x:c>
      <x:c r="L20" s="9" t="n">
        <x:v>0.44023684738121877</x:v>
      </x:c>
      <x:c r="M20" s="9" t="n">
        <x:v>0.8234650095685253</x:v>
      </x:c>
      <x:c r="N20" s="9" t="n">
        <x:v>0.15384615384615385</x:v>
      </x:c>
      <x:c r="O20" s="6" t="n">
        <x:v>14</x:v>
      </x:c>
      <x:c r="P20" s="6" t="n">
        <x:v>3</x:v>
      </x:c>
      <x:c r="Q20" s="6" t="n">
        <x:v>77</x:v>
      </x:c>
      <x:c r="R20" s="6" t="str">
        <x:v>esa-ew-id-duration-v1</x:v>
      </x:c>
      <x:c r="S20" s="6" t="str">
        <x:v>S093</x:v>
      </x:c>
      <x:c r="T20" s="6" t="str">
        <x:v>Historical weights and checkpoint selection. Q4 recalibration does not undo original selection. Training dates not re-established. Exploratory only.</x:v>
      </x:c>
    </x:row>
    <x:row r="21" ht="42" customHeight="1">
      <x:c r="A21" s="6" t="str">
        <x:v>fine_ch08_05_12</x:v>
      </x:c>
      <x:c r="B21" s="6" t="str">
        <x:v>5, 6, 7, 8, 9, 10, 11, 12</x:v>
      </x:c>
      <x:c r="C21" s="6" t="n">
        <x:v>15</x:v>
      </x:c>
      <x:c r="D21" s="6" t="n">
        <x:v>5891328</x:v>
      </x:c>
      <x:c r="E21" s="6" t="n">
        <x:v>1472833</x:v>
      </x:c>
      <x:c r="F21" s="8" t="n">
        <x:v>38991</x:v>
      </x:c>
      <x:c r="G21" s="8" t="n">
        <x:v>39083</x:v>
      </x:c>
      <x:c r="H21" s="8" t="n">
        <x:v>39083</x:v>
      </x:c>
      <x:c r="I21" s="8" t="n">
        <x:v>41640</x:v>
      </x:c>
      <x:c r="J21" s="6" t="str">
        <x:v>Final boundary sample included</x:v>
      </x:c>
      <x:c r="K21" s="9" t="n">
        <x:v>0.1997063405488988</x:v>
      </x:c>
      <x:c r="L21" s="9" t="n">
        <x:v>0.07190150975565522</x:v>
      </x:c>
      <x:c r="M21" s="9" t="n">
        <x:v>0.062030878435638204</x:v>
      </x:c>
      <x:c r="N21" s="9" t="n">
        <x:v>0.1978021978021978</x:v>
      </x:c>
      <x:c r="O21" s="6" t="n">
        <x:v>18</x:v>
      </x:c>
      <x:c r="P21" s="6" t="n">
        <x:v>267</x:v>
      </x:c>
      <x:c r="Q21" s="6" t="n">
        <x:v>73</x:v>
      </x:c>
      <x:c r="R21" s="6" t="str">
        <x:v>esa-ew-id-duration-v1</x:v>
      </x:c>
      <x:c r="S21" s="6" t="str">
        <x:v>S093</x:v>
      </x:c>
      <x:c r="T21" s="6" t="str">
        <x:v>Historical weights and checkpoint selection. Q4 recalibration does not undo original selection. Training dates not re-established. Exploratory only.</x:v>
      </x:c>
    </x:row>
    <x:row r="22" ht="42" customHeight="1">
      <x:c r="A22" s="6" t="str">
        <x:v>fine_ch08_13_20</x:v>
      </x:c>
      <x:c r="B22" s="6" t="str">
        <x:v>13, 14, 15, 16, 17, 18, 19, 20</x:v>
      </x:c>
      <x:c r="C22" s="6" t="n">
        <x:v>15</x:v>
      </x:c>
      <x:c r="D22" s="6" t="n">
        <x:v>5891328</x:v>
      </x:c>
      <x:c r="E22" s="6" t="n">
        <x:v>1472833</x:v>
      </x:c>
      <x:c r="F22" s="8" t="n">
        <x:v>38991</x:v>
      </x:c>
      <x:c r="G22" s="8" t="n">
        <x:v>39083</x:v>
      </x:c>
      <x:c r="H22" s="8" t="n">
        <x:v>39083</x:v>
      </x:c>
      <x:c r="I22" s="8" t="n">
        <x:v>41640</x:v>
      </x:c>
      <x:c r="J22" s="6" t="str">
        <x:v>Final boundary sample included</x:v>
      </x:c>
      <x:c r="K22" s="9" t="n">
        <x:v>0.5555555555555556</x:v>
      </x:c>
      <x:c r="L22" s="9" t="n">
        <x:v>0.2444985015313033</x:v>
      </x:c>
      <x:c r="M22" s="9" t="n">
        <x:v>0.22505348895480487</x:v>
      </x:c>
      <x:c r="N22" s="9" t="n">
        <x:v>0.37362637362637363</x:v>
      </x:c>
      <x:c r="O22" s="6" t="n">
        <x:v>34</x:v>
      </x:c>
      <x:c r="P22" s="6" t="n">
        <x:v>71</x:v>
      </x:c>
      <x:c r="Q22" s="6" t="n">
        <x:v>57</x:v>
      </x:c>
      <x:c r="R22" s="6" t="str">
        <x:v>esa-ew-id-duration-v1</x:v>
      </x:c>
      <x:c r="S22" s="6" t="str">
        <x:v>S093</x:v>
      </x:c>
      <x:c r="T22" s="6" t="str">
        <x:v>Historical weights and checkpoint selection. Q4 recalibration does not undo original selection. Training dates not re-established. Exploratory only.</x:v>
      </x:c>
    </x:row>
    <x:row r="23" ht="42" customHeight="1">
      <x:c r="A23" s="6" t="str">
        <x:v>fine_ch08_15_22</x:v>
      </x:c>
      <x:c r="B23" s="6" t="str">
        <x:v>15, 16, 17, 18, 19, 20, 21, 22</x:v>
      </x:c>
      <x:c r="C23" s="6" t="n">
        <x:v>5</x:v>
      </x:c>
      <x:c r="D23" s="6" t="n">
        <x:v>5891328</x:v>
      </x:c>
      <x:c r="E23" s="6" t="n">
        <x:v>1472833</x:v>
      </x:c>
      <x:c r="F23" s="8" t="n">
        <x:v>38991</x:v>
      </x:c>
      <x:c r="G23" s="8" t="n">
        <x:v>39083</x:v>
      </x:c>
      <x:c r="H23" s="8" t="n">
        <x:v>39083</x:v>
      </x:c>
      <x:c r="I23" s="8" t="n">
        <x:v>41640</x:v>
      </x:c>
      <x:c r="J23" s="6" t="str">
        <x:v>Final boundary sample included</x:v>
      </x:c>
      <x:c r="K23" s="9" t="n">
        <x:v>0.5555555555555556</x:v>
      </x:c>
      <x:c r="L23" s="9" t="n">
        <x:v>0.4623821503827624</x:v>
      </x:c>
      <x:c r="M23" s="9" t="n">
        <x:v>0.5576027152844101</x:v>
      </x:c>
      <x:c r="N23" s="9" t="n">
        <x:v>0.27472527472527475</x:v>
      </x:c>
      <x:c r="O23" s="6" t="n">
        <x:v>25</x:v>
      </x:c>
      <x:c r="P23" s="6" t="n">
        <x:v>15</x:v>
      </x:c>
      <x:c r="Q23" s="6" t="n">
        <x:v>66</x:v>
      </x:c>
      <x:c r="R23" s="6" t="str">
        <x:v>esa-ew-id-duration-v1</x:v>
      </x:c>
      <x:c r="S23" s="6" t="str">
        <x:v>S093</x:v>
      </x:c>
      <x:c r="T23" s="6" t="str">
        <x:v>Historical weights and checkpoint selection. Q4 recalibration does not undo original selection. Training dates not re-established. Exploratory only.</x:v>
      </x:c>
    </x:row>
    <x:row r="24" ht="42" customHeight="1">
      <x:c r="A24" s="6" t="str">
        <x:v>fine_ch08_19_26</x:v>
      </x:c>
      <x:c r="B24" s="6" t="str">
        <x:v>19, 20, 21, 22, 23, 24, 25, 26</x:v>
      </x:c>
      <x:c r="C24" s="6" t="n">
        <x:v>25</x:v>
      </x:c>
      <x:c r="D24" s="6" t="n">
        <x:v>5891328</x:v>
      </x:c>
      <x:c r="E24" s="6" t="n">
        <x:v>1472833</x:v>
      </x:c>
      <x:c r="F24" s="8" t="n">
        <x:v>38991</x:v>
      </x:c>
      <x:c r="G24" s="8" t="n">
        <x:v>39083</x:v>
      </x:c>
      <x:c r="H24" s="8" t="n">
        <x:v>39083</x:v>
      </x:c>
      <x:c r="I24" s="8" t="n">
        <x:v>41640</x:v>
      </x:c>
      <x:c r="J24" s="6" t="str">
        <x:v>Final boundary sample included</x:v>
      </x:c>
      <x:c r="K24" s="9" t="n">
        <x:v>0.38452231738454634</x:v>
      </x:c>
      <x:c r="L24" s="9" t="n">
        <x:v>0.10417233042264651</x:v>
      </x:c>
      <x:c r="M24" s="9" t="n">
        <x:v>0.08676496553804049</x:v>
      </x:c>
      <x:c r="N24" s="9" t="n">
        <x:v>0.5274725274725275</x:v>
      </x:c>
      <x:c r="O24" s="6" t="n">
        <x:v>48</x:v>
      </x:c>
      <x:c r="P24" s="6" t="n">
        <x:v>320</x:v>
      </x:c>
      <x:c r="Q24" s="6" t="n">
        <x:v>43</x:v>
      </x:c>
      <x:c r="R24" s="6" t="str">
        <x:v>esa-ew-id-duration-v1</x:v>
      </x:c>
      <x:c r="S24" s="6" t="str">
        <x:v>S093</x:v>
      </x:c>
      <x:c r="T24" s="6" t="str">
        <x:v>Historical weights and checkpoint selection. Q4 recalibration does not undo original selection. Training dates not re-established. Exploratory only.</x:v>
      </x:c>
    </x:row>
    <x:row r="25" ht="42" customHeight="1">
      <x:c r="A25" s="6" t="str">
        <x:v>fine_ch08_21_28</x:v>
      </x:c>
      <x:c r="B25" s="6" t="str">
        <x:v>21, 22, 23, 24, 25, 26, 27, 28</x:v>
      </x:c>
      <x:c r="C25" s="6" t="n">
        <x:v>5</x:v>
      </x:c>
      <x:c r="D25" s="6" t="n">
        <x:v>5891328</x:v>
      </x:c>
      <x:c r="E25" s="6" t="n">
        <x:v>1472833</x:v>
      </x:c>
      <x:c r="F25" s="8" t="n">
        <x:v>38991</x:v>
      </x:c>
      <x:c r="G25" s="8" t="n">
        <x:v>39083</x:v>
      </x:c>
      <x:c r="H25" s="8" t="n">
        <x:v>39083</x:v>
      </x:c>
      <x:c r="I25" s="8" t="n">
        <x:v>41640</x:v>
      </x:c>
      <x:c r="J25" s="6" t="str">
        <x:v>Final boundary sample included</x:v>
      </x:c>
      <x:c r="K25" s="9" t="n">
        <x:v>0</x:v>
      </x:c>
      <x:c r="L25" s="9" t="n">
        <x:v>0.4366848543731296</x:v>
      </x:c>
      <x:c r="M25" s="9" t="n">
        <x:v>0.48781054279622377</x:v>
      </x:c>
      <x:c r="N25" s="9" t="n">
        <x:v>0.3076923076923077</x:v>
      </x:c>
      <x:c r="O25" s="6" t="n">
        <x:v>28</x:v>
      </x:c>
      <x:c r="P25" s="6" t="n">
        <x:v>23</x:v>
      </x:c>
      <x:c r="Q25" s="6" t="n">
        <x:v>63</x:v>
      </x:c>
      <x:c r="R25" s="6" t="str">
        <x:v>esa-ew-id-duration-v1</x:v>
      </x:c>
      <x:c r="S25" s="6" t="str">
        <x:v>S093</x:v>
      </x:c>
      <x:c r="T25" s="6" t="str">
        <x:v>Historical weights and checkpoint selection. Q4 recalibration does not undo original selection. Training dates not re-established. Exploratory only.</x:v>
      </x:c>
    </x:row>
    <x:row r="26" ht="42" customHeight="1">
      <x:c r="A26" s="6" t="str">
        <x:v>fine_ch08_29_36</x:v>
      </x:c>
      <x:c r="B26" s="6" t="str">
        <x:v>29, 30, 31, 32, 33, 34, 35, 36</x:v>
      </x:c>
      <x:c r="C26" s="6" t="n">
        <x:v>5</x:v>
      </x:c>
      <x:c r="D26" s="6" t="n">
        <x:v>5891328</x:v>
      </x:c>
      <x:c r="E26" s="6" t="n">
        <x:v>1472833</x:v>
      </x:c>
      <x:c r="F26" s="8" t="n">
        <x:v>38991</x:v>
      </x:c>
      <x:c r="G26" s="8" t="n">
        <x:v>39083</x:v>
      </x:c>
      <x:c r="H26" s="8" t="n">
        <x:v>39083</x:v>
      </x:c>
      <x:c r="I26" s="8" t="n">
        <x:v>41640</x:v>
      </x:c>
      <x:c r="J26" s="6" t="str">
        <x:v>Final boundary sample included</x:v>
      </x:c>
      <x:c r="K26" s="9" t="n">
        <x:v>0.34430384438121286</x:v>
      </x:c>
      <x:c r="L26" s="9" t="n">
        <x:v>0.0651783777369535</x:v>
      </x:c>
      <x:c r="M26" s="9" t="n">
        <x:v>0.053971960707505665</x:v>
      </x:c>
      <x:c r="N26" s="9" t="n">
        <x:v>0.38461538461538464</x:v>
      </x:c>
      <x:c r="O26" s="6" t="n">
        <x:v>35</x:v>
      </x:c>
      <x:c r="P26" s="6" t="n">
        <x:v>513</x:v>
      </x:c>
      <x:c r="Q26" s="6" t="n">
        <x:v>56</x:v>
      </x:c>
      <x:c r="R26" s="6" t="str">
        <x:v>esa-ew-id-duration-v1</x:v>
      </x:c>
      <x:c r="S26" s="6" t="str">
        <x:v>S093</x:v>
      </x:c>
      <x:c r="T26" s="6" t="str">
        <x:v>Historical weights and checkpoint selection. Q4 recalibration does not undo original selection. Training dates not re-established. Exploratory only.</x:v>
      </x:c>
    </x:row>
    <x:row r="27" ht="42" customHeight="1">
      <x:c r="A27" s="6" t="str">
        <x:v>fine_ch08_31_38</x:v>
      </x:c>
      <x:c r="B27" s="6" t="str">
        <x:v>31, 32, 33, 34, 35, 36, 37, 38</x:v>
      </x:c>
      <x:c r="C27" s="6" t="n">
        <x:v>10</x:v>
      </x:c>
      <x:c r="D27" s="6" t="n">
        <x:v>5891328</x:v>
      </x:c>
      <x:c r="E27" s="6" t="n">
        <x:v>1472833</x:v>
      </x:c>
      <x:c r="F27" s="8" t="n">
        <x:v>38991</x:v>
      </x:c>
      <x:c r="G27" s="8" t="n">
        <x:v>39083</x:v>
      </x:c>
      <x:c r="H27" s="8" t="n">
        <x:v>39083</x:v>
      </x:c>
      <x:c r="I27" s="8" t="n">
        <x:v>41640</x:v>
      </x:c>
      <x:c r="J27" s="6" t="str">
        <x:v>Final boundary sample included</x:v>
      </x:c>
      <x:c r="K27" s="9" t="n">
        <x:v>0.38453818433237447</x:v>
      </x:c>
      <x:c r="L27" s="9" t="n">
        <x:v>0.1076055017271731</x:v>
      </x:c>
      <x:c r="M27" s="9" t="n">
        <x:v>0.09040260328944943</x:v>
      </x:c>
      <x:c r="N27" s="9" t="n">
        <x:v>0.45054945054945056</x:v>
      </x:c>
      <x:c r="O27" s="6" t="n">
        <x:v>41</x:v>
      </x:c>
      <x:c r="P27" s="6" t="n">
        <x:v>276</x:v>
      </x:c>
      <x:c r="Q27" s="6" t="n">
        <x:v>50</x:v>
      </x:c>
      <x:c r="R27" s="6" t="str">
        <x:v>esa-ew-id-duration-v1</x:v>
      </x:c>
      <x:c r="S27" s="6" t="str">
        <x:v>S093</x:v>
      </x:c>
      <x:c r="T27" s="6" t="str">
        <x:v>Historical weights and checkpoint selection. Q4 recalibration does not undo original selection. Training dates not re-established. Exploratory only.</x:v>
      </x:c>
    </x:row>
    <x:row r="28" ht="42" customHeight="1">
      <x:c r="A28" s="6" t="str">
        <x:v>fine_ch08_35_42</x:v>
      </x:c>
      <x:c r="B28" s="6" t="str">
        <x:v>35, 36, 37, 38, 39, 40, 41, 42</x:v>
      </x:c>
      <x:c r="C28" s="6" t="n">
        <x:v>15</x:v>
      </x:c>
      <x:c r="D28" s="6" t="n">
        <x:v>5891328</x:v>
      </x:c>
      <x:c r="E28" s="6" t="n">
        <x:v>1472833</x:v>
      </x:c>
      <x:c r="F28" s="8" t="n">
        <x:v>38991</x:v>
      </x:c>
      <x:c r="G28" s="8" t="n">
        <x:v>39083</x:v>
      </x:c>
      <x:c r="H28" s="8" t="n">
        <x:v>39083</x:v>
      </x:c>
      <x:c r="I28" s="8" t="n">
        <x:v>41640</x:v>
      </x:c>
      <x:c r="J28" s="6" t="str">
        <x:v>Final boundary sample included</x:v>
      </x:c>
      <x:c r="K28" s="9" t="n">
        <x:v>0.8799026019384373</x:v>
      </x:c>
      <x:c r="L28" s="9" t="n">
        <x:v>0.46035056339373615</x:v>
      </x:c>
      <x:c r="M28" s="9" t="n">
        <x:v>0.4574037695757173</x:v>
      </x:c>
      <x:c r="N28" s="9" t="n">
        <x:v>0.4725274725274725</x:v>
      </x:c>
      <x:c r="O28" s="6" t="n">
        <x:v>43</x:v>
      </x:c>
      <x:c r="P28" s="6" t="n">
        <x:v>36</x:v>
      </x:c>
      <x:c r="Q28" s="6" t="n">
        <x:v>48</x:v>
      </x:c>
      <x:c r="R28" s="6" t="str">
        <x:v>esa-ew-id-duration-v1</x:v>
      </x:c>
      <x:c r="S28" s="6" t="str">
        <x:v>S093</x:v>
      </x:c>
      <x:c r="T28" s="6" t="str">
        <x:v>Historical weights and checkpoint selection. Q4 recalibration does not undo original selection. Training dates not re-established. Exploratory only.</x:v>
      </x:c>
    </x:row>
    <x:row r="29" ht="42" customHeight="1">
      <x:c r="A29" s="6" t="str">
        <x:v>fine_ch08_37_44</x:v>
      </x:c>
      <x:c r="B29" s="6" t="str">
        <x:v>37, 38, 39, 40, 41, 42, 43, 44</x:v>
      </x:c>
      <x:c r="C29" s="6" t="n">
        <x:v>5</x:v>
      </x:c>
      <x:c r="D29" s="6" t="n">
        <x:v>5891328</x:v>
      </x:c>
      <x:c r="E29" s="6" t="n">
        <x:v>1472833</x:v>
      </x:c>
      <x:c r="F29" s="8" t="n">
        <x:v>38991</x:v>
      </x:c>
      <x:c r="G29" s="8" t="n">
        <x:v>39083</x:v>
      </x:c>
      <x:c r="H29" s="8" t="n">
        <x:v>39083</x:v>
      </x:c>
      <x:c r="I29" s="8" t="n">
        <x:v>41640</x:v>
      </x:c>
      <x:c r="J29" s="6" t="str">
        <x:v>Final boundary sample included</x:v>
      </x:c>
      <x:c r="K29" s="9" t="n">
        <x:v>0.8799026019384373</x:v>
      </x:c>
      <x:c r="L29" s="9" t="n">
        <x:v>0.45989859734294286</x:v>
      </x:c>
      <x:c r="M29" s="9" t="n">
        <x:v>0.4622968251485748</x:v>
      </x:c>
      <x:c r="N29" s="9" t="n">
        <x:v>0.45054945054945056</x:v>
      </x:c>
      <x:c r="O29" s="6" t="n">
        <x:v>41</x:v>
      </x:c>
      <x:c r="P29" s="6" t="n">
        <x:v>41</x:v>
      </x:c>
      <x:c r="Q29" s="6" t="n">
        <x:v>50</x:v>
      </x:c>
      <x:c r="R29" s="6" t="str">
        <x:v>esa-ew-id-duration-v1</x:v>
      </x:c>
      <x:c r="S29" s="6" t="str">
        <x:v>S093</x:v>
      </x:c>
      <x:c r="T29" s="6" t="str">
        <x:v>Historical weights and checkpoint selection. Q4 recalibration does not undo original selection. Training dates not re-established. Exploratory only.</x:v>
      </x:c>
    </x:row>
    <x:row r="30" ht="42" customHeight="1">
      <x:c r="A30" s="6" t="str">
        <x:v>pa_center_ch08_40_47</x:v>
      </x:c>
      <x:c r="B30" s="6" t="str">
        <x:v>40, 41, 42, 43, 44, 45, 46, 47</x:v>
      </x:c>
      <x:c r="C30" s="6" t="n">
        <x:v>15</x:v>
      </x:c>
      <x:c r="D30" s="6" t="n">
        <x:v>5891328</x:v>
      </x:c>
      <x:c r="E30" s="6" t="n">
        <x:v>1472833</x:v>
      </x:c>
      <x:c r="F30" s="8" t="n">
        <x:v>38991</x:v>
      </x:c>
      <x:c r="G30" s="8" t="n">
        <x:v>39083</x:v>
      </x:c>
      <x:c r="H30" s="8" t="n">
        <x:v>39083</x:v>
      </x:c>
      <x:c r="I30" s="8" t="n">
        <x:v>41640</x:v>
      </x:c>
      <x:c r="J30" s="6" t="str">
        <x:v>Final boundary sample included</x:v>
      </x:c>
      <x:c r="K30" s="9" t="n">
        <x:v>0.8821092202390165</x:v>
      </x:c>
      <x:c r="L30" s="9" t="n">
        <x:v>0.761655319383663</x:v>
      </x:c>
      <x:c r="M30" s="9" t="n">
        <x:v>0.8567482837590537</x:v>
      </x:c>
      <x:c r="N30" s="9" t="n">
        <x:v>0.5274725274725275</x:v>
      </x:c>
      <x:c r="O30" s="6" t="n">
        <x:v>48</x:v>
      </x:c>
      <x:c r="P30" s="6" t="n">
        <x:v>8</x:v>
      </x:c>
      <x:c r="Q30" s="6" t="n">
        <x:v>43</x:v>
      </x:c>
      <x:c r="R30" s="6" t="str">
        <x:v>esa-ew-id-duration-v1</x:v>
      </x:c>
      <x:c r="S30" s="6" t="str">
        <x:v>S093</x:v>
      </x:c>
      <x:c r="T30" s="6" t="str">
        <x:v>Historical weights and checkpoint selection. Q4 recalibration does not undo original selection. Training dates not re-established. Exploratory only.</x:v>
      </x:c>
    </x:row>
    <x:row r="31" ht="42" customHeight="1">
      <x:c r="A31" s="6" t="str">
        <x:v>pa_center_ch12_38_49</x:v>
      </x:c>
      <x:c r="B31" s="6" t="str">
        <x:v>38, 39, 40, 41, 42, 43, 44, 45, 46, 47, 48, 49</x:v>
      </x:c>
      <x:c r="C31" s="6" t="n">
        <x:v>20</x:v>
      </x:c>
      <x:c r="D31" s="6" t="n">
        <x:v>5891328</x:v>
      </x:c>
      <x:c r="E31" s="6" t="n">
        <x:v>1472833</x:v>
      </x:c>
      <x:c r="F31" s="8" t="n">
        <x:v>38991</x:v>
      </x:c>
      <x:c r="G31" s="8" t="n">
        <x:v>39083</x:v>
      </x:c>
      <x:c r="H31" s="8" t="n">
        <x:v>39083</x:v>
      </x:c>
      <x:c r="I31" s="8" t="n">
        <x:v>41640</x:v>
      </x:c>
      <x:c r="J31" s="6" t="str">
        <x:v>Final boundary sample included</x:v>
      </x:c>
      <x:c r="K31" s="9" t="n">
        <x:v>0.8818243675041214</x:v>
      </x:c>
      <x:c r="L31" s="9" t="n">
        <x:v>0.8380392060297047</x:v>
      </x:c>
      <x:c r="M31" s="9" t="n">
        <x:v>0.909640319483123</x:v>
      </x:c>
      <x:c r="N31" s="9" t="n">
        <x:v>0.6373626373626373</x:v>
      </x:c>
      <x:c r="O31" s="6" t="n">
        <x:v>58</x:v>
      </x:c>
      <x:c r="P31" s="6" t="n">
        <x:v>2</x:v>
      </x:c>
      <x:c r="Q31" s="6" t="n">
        <x:v>33</x:v>
      </x:c>
      <x:c r="R31" s="6" t="str">
        <x:v>esa-ew-id-duration-v1</x:v>
      </x:c>
      <x:c r="S31" s="6" t="str">
        <x:v>S093</x:v>
      </x:c>
      <x:c r="T31" s="6" t="str">
        <x:v>Historical weights and checkpoint selection. Q4 recalibration does not undo original selection. Training dates not re-established. Exploratory only.</x:v>
      </x:c>
    </x:row>
    <x:row r="32" ht="42" customHeight="1">
      <x:c r="A32" s="6" t="str">
        <x:v>pa_clust_med_t03_6ch</x:v>
      </x:c>
      <x:c r="B32" s="6" t="str">
        <x:v>3, 5, 13, 29, 48, 57</x:v>
      </x:c>
      <x:c r="C32" s="6" t="n">
        <x:v>5</x:v>
      </x:c>
      <x:c r="D32" s="6" t="n">
        <x:v>5891328</x:v>
      </x:c>
      <x:c r="E32" s="6" t="n">
        <x:v>1472833</x:v>
      </x:c>
      <x:c r="F32" s="8" t="n">
        <x:v>38991</x:v>
      </x:c>
      <x:c r="G32" s="8" t="n">
        <x:v>39083</x:v>
      </x:c>
      <x:c r="H32" s="8" t="n">
        <x:v>39083</x:v>
      </x:c>
      <x:c r="I32" s="8" t="n">
        <x:v>41640</x:v>
      </x:c>
      <x:c r="J32" s="6" t="str">
        <x:v>Final boundary sample included</x:v>
      </x:c>
      <x:c r="K32" s="9" t="n">
        <x:v>0.8821083772897611</x:v>
      </x:c>
      <x:c r="L32" s="9" t="n">
        <x:v>0.6649373697561954</x:v>
      </x:c>
      <x:c r="M32" s="9" t="n">
        <x:v>0.8259284379576569</x:v>
      </x:c>
      <x:c r="N32" s="9" t="n">
        <x:v>0.37362637362637363</x:v>
      </x:c>
      <x:c r="O32" s="6" t="n">
        <x:v>34</x:v>
      </x:c>
      <x:c r="P32" s="6" t="n">
        <x:v>0</x:v>
      </x:c>
      <x:c r="Q32" s="6" t="n">
        <x:v>57</x:v>
      </x:c>
      <x:c r="R32" s="6" t="str">
        <x:v>esa-ew-id-duration-v1</x:v>
      </x:c>
      <x:c r="S32" s="6" t="str">
        <x:v>S093</x:v>
      </x:c>
      <x:c r="T32" s="6" t="str">
        <x:v>Historical weights and checkpoint selection. Q4 recalibration does not undo original selection. Training dates not re-established. Exploratory only.</x:v>
      </x:c>
    </x:row>
  </x:sheetData>
  <x:pageMargins left="0.7" right="0.7" top="0.75" bottom="0.75" header="0.3" footer="0.3"/>
  <x:tableParts count="1">
    <x:tablePart xmlns:r="http://schemas.openxmlformats.org/officeDocument/2006/relationships" r:id="Rb6b28bc197064cb4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45" customHeight="1">
      <x:c r="A1" s="5" t="str">
        <x:v>method</x:v>
      </x:c>
      <x:c r="B1" s="5" t="str">
        <x:v>scope</x:v>
      </x:c>
      <x:c r="C1" s="5" t="str">
        <x:v>period</x:v>
      </x:c>
      <x:c r="D1" s="5" t="str">
        <x:v>F05</x:v>
      </x:c>
      <x:c r="E1" s="5" t="str">
        <x:v>precision</x:v>
      </x:c>
      <x:c r="F1" s="5" t="str">
        <x:v>recall</x:v>
      </x:c>
      <x:c r="G1" s="5" t="str">
        <x:v>TP</x:v>
      </x:c>
      <x:c r="H1" s="5" t="str">
        <x:v>FP</x:v>
      </x:c>
      <x:c r="I1" s="5" t="str">
        <x:v>FN</x:v>
      </x:c>
      <x:c r="J1" s="5" t="str">
        <x:v>false_positive_seconds</x:v>
      </x:c>
      <x:c r="K1" s="5" t="str">
        <x:v>source</x:v>
      </x:c>
    </x:row>
    <x:row r="2" ht="27" customHeight="1">
      <x:c r="A2" s="2" t="str">
        <x:v>original_max</x:v>
      </x:c>
      <x:c r="B2" s="2" t="str">
        <x:v>system_all_channels</x:v>
      </x:c>
      <x:c r="C2" s="2" t="str">
        <x:v>2006 calibration only</x:v>
      </x:c>
      <x:c r="D2" s="14" t="n">
        <x:v>0.8821482657069778</x:v>
      </x:c>
      <x:c r="E2" s="14" t="n">
        <x:v>0.9996714139214719</x:v>
      </x:c>
      <x:c r="F2" s="14" t="n">
        <x:v>0.6</x:v>
      </x:c>
      <x:c r="G2" s="2" t="n">
        <x:v>6</x:v>
      </x:c>
      <x:c r="H2" s="2" t="n">
        <x:v>0</x:v>
      </x:c>
      <x:c r="I2" s="2" t="n">
        <x:v>4</x:v>
      </x:c>
      <x:c r="J2" s="2" t="n">
        <x:v>10030.695</x:v>
      </x:c>
      <x:c r="K2" s="2" t="str">
        <x:v>S094</x:v>
      </x:c>
    </x:row>
    <x:row r="3" ht="27" customHeight="1">
      <x:c r="A3" s="2" t="str">
        <x:v>training_q99_max</x:v>
      </x:c>
      <x:c r="B3" s="2" t="str">
        <x:v>system_all_channels</x:v>
      </x:c>
      <x:c r="C3" s="2" t="str">
        <x:v>2006 calibration only</x:v>
      </x:c>
      <x:c r="D3" s="14" t="n">
        <x:v>0.8820990646428077</x:v>
      </x:c>
      <x:c r="E3" s="14" t="n">
        <x:v>0.9995924359822295</x:v>
      </x:c>
      <x:c r="F3" s="14" t="n">
        <x:v>0.6</x:v>
      </x:c>
      <x:c r="G3" s="2" t="n">
        <x:v>6</x:v>
      </x:c>
      <x:c r="H3" s="2" t="n">
        <x:v>0</x:v>
      </x:c>
      <x:c r="I3" s="2" t="n">
        <x:v>4</x:v>
      </x:c>
      <x:c r="J3" s="2" t="n">
        <x:v>12441.642</x:v>
      </x:c>
      <x:c r="K3" s="2" t="str">
        <x:v>S094</x:v>
      </x:c>
    </x:row>
    <x:row r="4" ht="27" customHeight="1">
      <x:c r="A4" s="2" t="str">
        <x:v>Full-period baseline</x:v>
      </x:c>
      <x:c r="B4" s="2" t="str">
        <x:v>system_all_channels</x:v>
      </x:c>
      <x:c r="C4" s="2" t="str">
        <x:v>2006 calibration only</x:v>
      </x:c>
      <x:c r="D4" s="14" t="n">
        <x:v>0.8821482657069778</x:v>
      </x:c>
      <x:c r="E4" s="14" t="n">
        <x:v>0.9996714139214719</x:v>
      </x:c>
      <x:c r="F4" s="14" t="n">
        <x:v>0.6</x:v>
      </x:c>
      <x:c r="G4" s="2" t="n">
        <x:v>6</x:v>
      </x:c>
      <x:c r="H4" s="2" t="n">
        <x:v>0</x:v>
      </x:c>
      <x:c r="I4" s="2" t="n">
        <x:v>4</x:v>
      </x:c>
      <x:c r="J4" s="2" t="n">
        <x:v>10030.695</x:v>
      </x:c>
      <x:c r="K4" s="2" t="str">
        <x:v>S085</x:v>
      </x:c>
    </x:row>
    <x:row r="5" ht="27" customHeight="1">
      <x:c r="A5" s="2" t="str">
        <x:v>Full-period baseline</x:v>
      </x:c>
      <x:c r="B5" s="2" t="str">
        <x:v>input_channels_40_47</x:v>
      </x:c>
      <x:c r="C5" s="2" t="str">
        <x:v>2006 calibration only</x:v>
      </x:c>
      <x:c r="D5" s="14" t="n">
        <x:v>0.9997371138610325</x:v>
      </x:c>
      <x:c r="E5" s="14" t="n">
        <x:v>0.9996714139214719</x:v>
      </x:c>
      <x:c r="F5" s="14" t="n">
        <x:v>1</x:v>
      </x:c>
      <x:c r="G5" s="2" t="n">
        <x:v>6</x:v>
      </x:c>
      <x:c r="H5" s="2" t="n">
        <x:v>0</x:v>
      </x:c>
      <x:c r="I5" s="2" t="n">
        <x:v>0</x:v>
      </x:c>
      <x:c r="J5" s="2" t="n">
        <x:v>10030.695</x:v>
      </x:c>
      <x:c r="K5" s="2" t="str">
        <x:v>S085</x:v>
      </x:c>
    </x:row>
  </x:sheetData>
  <x:pageMargins left="0.7" right="0.7" top="0.75" bottom="0.75" header="0.3" footer="0.3"/>
  <x:tableParts count="1">
    <x:tablePart xmlns:r="http://schemas.openxmlformats.org/officeDocument/2006/relationships" r:id="R477a078033664f32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0" hidden="0" customWidth="1"/>
    <x:col min="8" max="8" width="80" hidden="0" customWidth="1"/>
    <x:col min="9" max="9" width="80" hidden="0" customWidth="1"/>
    <x:col min="10" max="10" width="80" hidden="0" customWidth="1"/>
    <x:col min="11" max="11" width="18" hidden="0" customWidth="1"/>
  </x:cols>
  <x:sheetData>
    <x:row r="1" ht="45" customHeight="1">
      <x:c r="A1" s="5" t="str">
        <x:v>run</x:v>
      </x:c>
      <x:c r="B1" s="5" t="str">
        <x:v>campaign</x:v>
      </x:c>
      <x:c r="C1" s="5" t="str">
        <x:v>epochs</x:v>
      </x:c>
      <x:c r="D1" s="5" t="str">
        <x:v>seed</x:v>
      </x:c>
      <x:c r="E1" s="5" t="str">
        <x:v>batch_size</x:v>
      </x:c>
      <x:c r="F1" s="5" t="str">
        <x:v>window_cap</x:v>
      </x:c>
      <x:c r="G1" s="5" t="str">
        <x:v>channels</x:v>
      </x:c>
      <x:c r="H1" s="5" t="str">
        <x:v>selection</x:v>
      </x:c>
      <x:c r="I1" s="5" t="str">
        <x:v>scoring</x:v>
      </x:c>
      <x:c r="J1" s="5" t="str">
        <x:v>limits</x:v>
      </x:c>
      <x:c r="K1" s="5" t="str">
        <x:v>source</x:v>
      </x:c>
    </x:row>
    <x:row r="2" ht="70" customHeight="1">
      <x:c r="A2" s="6" t="str">
        <x:v>ae_baseline_2003_seed42</x:v>
      </x:c>
      <x:c r="B2" s="6" t="str">
        <x:v>Historical 40-epoch development</x:v>
      </x:c>
      <x:c r="C2" s="6" t="n">
        <x:v>40</x:v>
      </x:c>
      <x:c r="D2" s="6" t="n">
        <x:v>42</x:v>
      </x:c>
      <x:c r="E2" s="6" t="n">
        <x:v>64</x:v>
      </x:c>
      <x:c r="F2" s="6" t="n">
        <x:v>250000</x:v>
      </x:c>
      <x:c r="G2" s="6" t="str">
        <x:v>40, 41, 42, 43, 44, 45, 46, 47</x:v>
      </x:c>
      <x:c r="H2" s="6" t="str">
        <x:v>corrected calibration F0.5 every 5 epochs and final epoch; earliest tie</x:v>
      </x:c>
      <x:c r="I2" s="6" t="str">
        <x:v>window_mean</x:v>
      </x:c>
      <x:c r="J2" s="6" t="str">
        <x:v>Retrospective AE; fixed historical channel group; assessment folds are development data; exact GPU determinism not guaranteed</x:v>
      </x:c>
      <x:c r="K2" s="6" t="str">
        <x:v>S002</x:v>
      </x:c>
    </x:row>
    <x:row r="3" ht="70" customHeight="1">
      <x:c r="A3" s="6" t="str">
        <x:v>ae_baseline_remaining_seed42</x:v>
      </x:c>
      <x:c r="B3" s="6" t="str">
        <x:v>Historical 40-epoch development</x:v>
      </x:c>
      <x:c r="C3" s="6" t="n">
        <x:v>40</x:v>
      </x:c>
      <x:c r="D3" s="6" t="n">
        <x:v>42</x:v>
      </x:c>
      <x:c r="E3" s="6" t="n">
        <x:v>64</x:v>
      </x:c>
      <x:c r="F3" s="6" t="n">
        <x:v>250000</x:v>
      </x:c>
      <x:c r="G3" s="6" t="str">
        <x:v>40, 41, 42, 43, 44, 45, 46, 47</x:v>
      </x:c>
      <x:c r="H3" s="6" t="str">
        <x:v>corrected calibration F0.5 every 5 epochs and final epoch; earliest tie</x:v>
      </x:c>
      <x:c r="I3" s="6" t="str">
        <x:v>window_mean</x:v>
      </x:c>
      <x:c r="J3" s="6" t="str">
        <x:v>Retrospective AE; fixed historical channel group; assessment folds are development data; exact GPU determinism not guaranteed</x:v>
      </x:c>
      <x:c r="K3" s="6" t="str">
        <x:v>S005</x:v>
      </x:c>
    </x:row>
    <x:row r="4" ht="70" customHeight="1">
      <x:c r="A4" s="6" t="str">
        <x:v>ae_expanded_seed42</x:v>
      </x:c>
      <x:c r="B4" s="6" t="str">
        <x:v>Historical 40-epoch development</x:v>
      </x:c>
      <x:c r="C4" s="6" t="n">
        <x:v>40</x:v>
      </x:c>
      <x:c r="D4" s="6" t="n">
        <x:v>42</x:v>
      </x:c>
      <x:c r="E4" s="6" t="n">
        <x:v>64</x:v>
      </x:c>
      <x:c r="F4" s="6" t="n">
        <x:v>250000</x:v>
      </x:c>
      <x:c r="G4" s="6" t="str">
        <x:v>40, 41, 42, 43, 44, 45, 46, 47, 14, 21, 29</x:v>
      </x:c>
      <x:c r="H4" s="6" t="str">
        <x:v>corrected calibration F0.5 every 5 epochs and final epoch; earliest tie</x:v>
      </x:c>
      <x:c r="I4" s="6" t="str">
        <x:v>window_mean</x:v>
      </x:c>
      <x:c r="J4" s="6" t="str">
        <x:v>Retrospective AE; fixed historical channel group; assessment folds are development data; exact GPU determinism not guaranteed</x:v>
      </x:c>
      <x:c r="K4" s="6" t="str">
        <x:v>S009</x:v>
      </x:c>
    </x:row>
    <x:row r="5" ht="70" customHeight="1">
      <x:c r="A5" s="6" t="str">
        <x:v>ae_reconstruction_seed42</x:v>
      </x:c>
      <x:c r="B5" s="6" t="str">
        <x:v>Historical 40-epoch development</x:v>
      </x:c>
      <x:c r="C5" s="6" t="n">
        <x:v>40</x:v>
      </x:c>
      <x:c r="D5" s="6" t="n">
        <x:v>42</x:v>
      </x:c>
      <x:c r="E5" s="6" t="n">
        <x:v>64</x:v>
      </x:c>
      <x:c r="F5" s="6" t="n">
        <x:v>250000</x:v>
      </x:c>
      <x:c r="G5" s="6" t="str">
        <x:v>40, 41, 42, 43, 44, 45, 46, 47</x:v>
      </x:c>
      <x:c r="H5" s="6" t="str">
        <x:v>corrected calibration F0.5 every 5 epochs and final epoch; earliest tie</x:v>
      </x:c>
      <x:c r="I5" s="6" t="str">
        <x:v>window_mean</x:v>
      </x:c>
      <x:c r="J5" s="6" t="str">
        <x:v>Retrospective AE; fixed historical channel group; assessment folds are development data; exact GPU determinism not guaranteed</x:v>
      </x:c>
      <x:c r="K5" s="6" t="str">
        <x:v>S014</x:v>
      </x:c>
    </x:row>
    <x:row r="6" ht="70" customHeight="1">
      <x:c r="A6" s="6" t="str">
        <x:v>ae_specialist_seed42_verified</x:v>
      </x:c>
      <x:c r="B6" s="6" t="str">
        <x:v>Historical 40-epoch development</x:v>
      </x:c>
      <x:c r="C6" s="6" t="n">
        <x:v>40</x:v>
      </x:c>
      <x:c r="D6" s="6" t="n">
        <x:v>42</x:v>
      </x:c>
      <x:c r="E6" s="6" t="n">
        <x:v>64</x:v>
      </x:c>
      <x:c r="F6" s="6" t="n">
        <x:v>250000</x:v>
      </x:c>
      <x:c r="G6" s="6" t="str">
        <x:v>14, 21, 29</x:v>
      </x:c>
      <x:c r="H6" s="6" t="str">
        <x:v>corrected calibration F0.5 every 5 epochs and final epoch; earliest tie</x:v>
      </x:c>
      <x:c r="I6" s="6" t="str">
        <x:v>window_mean</x:v>
      </x:c>
      <x:c r="J6" s="6" t="str">
        <x:v>Retrospective AE; fixed historical channel group; assessment folds are development data; exact GPU determinism not guaranteed</x:v>
      </x:c>
      <x:c r="K6" s="6" t="str">
        <x:v>S019</x:v>
      </x:c>
    </x:row>
    <x:row r="7" ht="70" customHeight="1">
      <x:c r="A7" s="6" t="str">
        <x:v>combined_specialist_seed42</x:v>
      </x:c>
      <x:c r="B7" s="6" t="str">
        <x:v>OR combination</x:v>
      </x:c>
      <x:c r="C7" s="6" t="n">
        <x:v>40</x:v>
      </x:c>
      <x:c r="D7" s="6" t="n">
        <x:v>42</x:v>
      </x:c>
      <x:c r="E7" s="6" t="n">
        <x:v>64</x:v>
      </x:c>
      <x:c r="F7" s="6" t="n">
        <x:v>250000</x:v>
      </x:c>
      <x:c r="G7" s="6" t="str">
        <x:v>40–47 plus separate14,21,29</x:v>
      </x:c>
      <x:c r="H7" s="6" t="str">
        <x:v>Frozen baseline OR optional specialist; calibration-only selection; off wins F0.5 ties; &lt;=1% combined rate and no extra calibration FPe</x:v>
      </x:c>
      <x:c r="I7" s="6" t="str">
        <x:v>OR of frozen component alarms. Component training budget shown.</x:v>
      </x:c>
      <x:c r="J7" s="6" t="str">
        <x:v>Reuses frozen component models. Optional specialist enabled by calibration only.</x:v>
      </x:c>
      <x:c r="K7" s="6" t="str">
        <x:v>S024</x:v>
      </x:c>
    </x:row>
    <x:row r="8" ht="70" customHeight="1">
      <x:c r="A8" s="6" t="str">
        <x:v>short_coordinated_seed42_v1</x:v>
      </x:c>
      <x:c r="B8" s="6" t="str">
        <x:v>Augmentation paired</x:v>
      </x:c>
      <x:c r="C8" s="6" t="n">
        <x:v>5</x:v>
      </x:c>
      <x:c r="D8" s="6" t="n">
        <x:v>42</x:v>
      </x:c>
      <x:c r="E8" s="6" t="n">
        <x:v>64</x:v>
      </x:c>
      <x:c r="F8" s="6" t="n">
        <x:v>25000</x:v>
      </x:c>
      <x:c r="G8" s="6" t="str">
        <x:v>40, 41, 42, 43, 44, 45, 46, 47</x:v>
      </x:c>
      <x:c r="H8" s="6" t="str">
        <x:v>Original quantiles/postprocessing and total-alarm1%cap; calibration each epoch, earliest tie; BOTH arms frozen before each fold assessment</x:v>
      </x:c>
      <x:c r="I8" s="6" t="str">
        <x:v>See method guide</x:v>
      </x:c>
      <x:c r="J8" s="6" t="str">
        <x:v>Exploratory previously inspected development periods; one seed; budget differs from40epoch baseline; not exact GPU determinism guarantee; no2007–2013 access</x:v>
      </x:c>
      <x:c r="K8" s="6" t="str">
        <x:v>S026</x:v>
      </x:c>
    </x:row>
    <x:row r="9" ht="70" customHeight="1">
      <x:c r="A9" s="6" t="str">
        <x:v>short_coordinated_seed43_v1</x:v>
      </x:c>
      <x:c r="B9" s="6" t="str">
        <x:v>Augmentation paired</x:v>
      </x:c>
      <x:c r="C9" s="6" t="n">
        <x:v>5</x:v>
      </x:c>
      <x:c r="D9" s="6" t="n">
        <x:v>43</x:v>
      </x:c>
      <x:c r="E9" s="6" t="n">
        <x:v>64</x:v>
      </x:c>
      <x:c r="F9" s="6" t="n">
        <x:v>25000</x:v>
      </x:c>
      <x:c r="G9" s="6" t="str">
        <x:v>40, 41, 42, 43, 44, 45, 46, 47</x:v>
      </x:c>
      <x:c r="H9" s="6" t="str">
        <x:v>Original quantiles/postprocessing and total-alarm1%cap; calibration each epoch, earliest tie; BOTH arms frozen before each fold assessment</x:v>
      </x:c>
      <x:c r="I9" s="6" t="str">
        <x:v>See method guide</x:v>
      </x:c>
      <x:c r="J9" s="6" t="str">
        <x:v>Exploratory previously inspected development periods; one seed; budget differs from40epoch baseline; not exact GPU determinism guarantee; no2007–2013 access</x:v>
      </x:c>
      <x:c r="K9" s="6" t="str">
        <x:v>S034</x:v>
      </x:c>
    </x:row>
    <x:row r="10" ht="70" customHeight="1">
      <x:c r="A10" s="6" t="str">
        <x:v>short_coordinated_seed44_v1</x:v>
      </x:c>
      <x:c r="B10" s="6" t="str">
        <x:v>Augmentation paired</x:v>
      </x:c>
      <x:c r="C10" s="6" t="n">
        <x:v>5</x:v>
      </x:c>
      <x:c r="D10" s="6" t="n">
        <x:v>44</x:v>
      </x:c>
      <x:c r="E10" s="6" t="n">
        <x:v>64</x:v>
      </x:c>
      <x:c r="F10" s="6" t="n">
        <x:v>25000</x:v>
      </x:c>
      <x:c r="G10" s="6" t="str">
        <x:v>40, 41, 42, 43, 44, 45, 46, 47</x:v>
      </x:c>
      <x:c r="H10" s="6" t="str">
        <x:v>Original quantiles/postprocessing and total-alarm1%cap; calibration each epoch, earliest tie; BOTH arms frozen before each fold assessment</x:v>
      </x:c>
      <x:c r="I10" s="6" t="str">
        <x:v>See method guide</x:v>
      </x:c>
      <x:c r="J10" s="6" t="str">
        <x:v>Exploratory previously inspected development periods; one seed; budget differs from40epoch baseline; not exact GPU determinism guarantee; no2007–2013 access</x:v>
      </x:c>
      <x:c r="K10" s="6" t="str">
        <x:v>S042</x:v>
      </x:c>
    </x:row>
    <x:row r="11" ht="70" customHeight="1">
      <x:c r="A11" s="6" t="str">
        <x:v>short_no_roll_seed42_v1</x:v>
      </x:c>
      <x:c r="B11" s="6" t="str">
        <x:v>No short rolls paired</x:v>
      </x:c>
      <x:c r="C11" s="6" t="n">
        <x:v>5</x:v>
      </x:c>
      <x:c r="D11" s="6" t="n">
        <x:v>42</x:v>
      </x:c>
      <x:c r="E11" s="6" t="n">
        <x:v>64</x:v>
      </x:c>
      <x:c r="F11" s="6" t="n">
        <x:v>25000</x:v>
      </x:c>
      <x:c r="G11" s="6" t="str">
        <x:v>40, 41, 42, 43, 44, 45, 46, 47</x:v>
      </x:c>
      <x:c r="H11" s="6" t="str">
        <x:v>Original quantiles/postprocessing and total-alarm1%cap; calibration each epoch, earliest tie; BOTH arms frozen before each fold assessment</x:v>
      </x:c>
      <x:c r="I11" s="6" t="str">
        <x:v>See method guide</x:v>
      </x:c>
      <x:c r="J11" s="6" t="str">
        <x:v>Exploratory previously inspected development periods; one seed; budget differs from40epoch baseline; not exact GPU determinism guarantee; no2007–2013 access</x:v>
      </x:c>
      <x:c r="K11" s="6" t="str">
        <x:v>S050</x:v>
      </x:c>
    </x:row>
    <x:row r="12" ht="70" customHeight="1">
      <x:c r="A12" s="6" t="str">
        <x:v>masked-pilot-2003-2026-09-24</x:v>
      </x:c>
      <x:c r="B12" s="6" t="str">
        <x:v>Masking paired</x:v>
      </x:c>
      <x:c r="C12" s="6" t="n">
        <x:v>5</x:v>
      </x:c>
      <x:c r="D12" s="6" t="n">
        <x:v>42</x:v>
      </x:c>
      <x:c r="E12" s="6" t="n">
        <x:v>64</x:v>
      </x:c>
      <x:c r="F12" s="6" t="n">
        <x:v>25000</x:v>
      </x:c>
      <x:c r="G12" s="6" t="str">
        <x:v>40, 41, 42, 43, 44, 45, 46, 47</x:v>
      </x:c>
      <x:c r="H12" s="6" t="str">
        <x:v>Each arm: calibration every epoch, earliest F0.5 tie; freeze both before assessment</x:v>
      </x:c>
      <x:c r="I12" s="6" t="str">
        <x:v>Both window-mean, overlap-average, channel maximum; masked inference scores each target only while hidden</x:v>
      </x:c>
      <x:c r="J12" s="6" t="str">
        <x:v>Small single-seed development pilot; not comparable directly to full-run0.8057. Earlier folds already explored, not untouched validation. No2007–2013 access. No OR. Retrospective scoring; inherited preparation.</x:v>
      </x:c>
      <x:c r="K12" s="6" t="str">
        <x:v>S058</x:v>
      </x:c>
    </x:row>
    <x:row r="13" ht="70" customHeight="1">
      <x:c r="A13" s="6" t="str">
        <x:v>masked_pilot_2004_2005_seed42_v2</x:v>
      </x:c>
      <x:c r="B13" s="6" t="str">
        <x:v>Masking paired</x:v>
      </x:c>
      <x:c r="C13" s="6" t="n">
        <x:v>5</x:v>
      </x:c>
      <x:c r="D13" s="6" t="n">
        <x:v>42</x:v>
      </x:c>
      <x:c r="E13" s="6" t="n">
        <x:v>64</x:v>
      </x:c>
      <x:c r="F13" s="6" t="n">
        <x:v>25000</x:v>
      </x:c>
      <x:c r="G13" s="6" t="str">
        <x:v>40, 41, 42, 43, 44, 45, 46, 47</x:v>
      </x:c>
      <x:c r="H13" s="6" t="str">
        <x:v>Each arm: calibration every epoch, earliest F0.5 tie; freeze both before assessment</x:v>
      </x:c>
      <x:c r="I13" s="6" t="str">
        <x:v>Both window-mean, overlap-average, channel maximum; masked inference scores each target only while hidden</x:v>
      </x:c>
      <x:c r="J13" s="6" t="str">
        <x:v>Small single-seed development pilot; not comparable directly to full-run0.8057. Earlier folds already explored, not untouched validation. No2007–2013 access. No OR. Retrospective scoring; inherited preparation.</x:v>
      </x:c>
      <x:c r="K13" s="6" t="str">
        <x:v>S060</x:v>
      </x:c>
    </x:row>
    <x:row r="14" ht="70" customHeight="1">
      <x:c r="A14" s="6" t="str">
        <x:v>masked_overlap_2004_seed42_v1</x:v>
      </x:c>
      <x:c r="B14" s="6" t="str">
        <x:v>Masked overlap paired</x:v>
      </x:c>
      <x:c r="C14" s="6" t="n">
        <x:v>5</x:v>
      </x:c>
      <x:c r="D14" s="6" t="n">
        <x:v>42</x:v>
      </x:c>
      <x:c r="E14" s="6" t="n">
        <x:v>64</x:v>
      </x:c>
      <x:c r="F14" s="6" t="n">
        <x:v>25000</x:v>
      </x:c>
      <x:c r="G14" s="6" t="str">
        <x:v>40, 41, 42, 43, 44, 45, 46, 47</x:v>
      </x:c>
      <x:c r="H14" s="6" t="str">
        <x:v>Each arm: calibration every epoch, earliest F0.5 tie; freeze both before assessment</x:v>
      </x:c>
      <x:c r="I14" s="6" t="str">
        <x:v>Both window-mean, overlap-average, channel maximum; masked inference scores each target only while hidden</x:v>
      </x:c>
      <x:c r="J14" s="6" t="str">
        <x:v>Small single-seed development pilot; not comparable directly to full-run0.8057. Earlier folds already explored, not untouched validation. No2007–2013 access. No OR. Retrospective scoring; inherited preparation.</x:v>
      </x:c>
      <x:c r="K14" s="6" t="str">
        <x:v>S066</x:v>
      </x:c>
    </x:row>
    <x:row r="15" ht="70" customHeight="1">
      <x:c r="A15" s="6" t="str">
        <x:v>grid_cap_policy_v1</x:v>
      </x:c>
      <x:c r="B15" s="6" t="str">
        <x:v>Threshold policy</x:v>
      </x:c>
      <x:c r="C15" s="6" t="n">
        <x:v>40</x:v>
      </x:c>
      <x:c r="D15" s="6" t="n">
        <x:v>42</x:v>
      </x:c>
      <x:c r="E15" s="6"/>
      <x:c r="F15" s="6" t="n">
        <x:v>250000</x:v>
      </x:c>
      <x:c r="G15" s="6" t="str">
        <x:v>40–47</x:v>
      </x:c>
      <x:c r="H15" s="6" t="str">
        <x:v>Dense calibration quantiles + nominal false-alarm duration &lt;=1%; same checkpoints; no assessment selection</x:v>
      </x:c>
      <x:c r="I15" s="6" t="str">
        <x:v>Reused window-mean AE scores. Inherited model training budget shown.</x:v>
      </x:c>
      <x:c r="J15" s="6" t="str">
        <x:v>Previously inspected development data, not untouched test. No2007–2013 access. Existing cached scores; no training.</x:v>
      </x:c>
      <x:c r="K15" s="6" t="str">
        <x:v>S070</x:v>
      </x:c>
    </x:row>
    <x:row r="16" ht="70" customHeight="1">
      <x:c r="A16" s="6" t="str">
        <x:v>forecast_2003_seed42</x:v>
      </x:c>
      <x:c r="B16" s="6" t="str">
        <x:v>Forecasting</x:v>
      </x:c>
      <x:c r="C16" s="6" t="n">
        <x:v>40</x:v>
      </x:c>
      <x:c r="D16" s="6" t="n">
        <x:v>42</x:v>
      </x:c>
      <x:c r="E16" s="6" t="n">
        <x:v>64</x:v>
      </x:c>
      <x:c r="F16" s="6" t="n">
        <x:v>250000</x:v>
      </x:c>
      <x:c r="G16" s="6" t="str">
        <x:v>40, 41, 42, 43, 44, 45, 46, 47</x:v>
      </x:c>
      <x:c r="H16" s="6" t="str">
        <x:v>calibration F0.5 every 5 epochs and last; earliest tie; 1% cap</x:v>
      </x:c>
      <x:c r="I16" s="6" t="str">
        <x:v>max-channel squared error per arriving target; no future residual averaging</x:v>
      </x:c>
      <x:c r="J16" s="6" t="str">
        <x:v>development folds; sparse calibration; AE has different information and alarm policies; GPU bitwise determinism not guaranteed</x:v>
      </x:c>
      <x:c r="K16" s="6" t="str">
        <x:v>S072</x:v>
      </x:c>
    </x:row>
    <x:row r="17" ht="70" customHeight="1">
      <x:c r="A17" s="6" t="str">
        <x:v>forecast_residual_2003_seed42</x:v>
      </x:c>
      <x:c r="B17" s="6" t="str">
        <x:v>Forecasting</x:v>
      </x:c>
      <x:c r="C17" s="6" t="n">
        <x:v>40</x:v>
      </x:c>
      <x:c r="D17" s="6" t="n">
        <x:v>42</x:v>
      </x:c>
      <x:c r="E17" s="6" t="n">
        <x:v>64</x:v>
      </x:c>
      <x:c r="F17" s="6" t="n">
        <x:v>250000</x:v>
      </x:c>
      <x:c r="G17" s="6" t="str">
        <x:v>40, 41, 42, 43, 44, 45, 46, 47</x:v>
      </x:c>
      <x:c r="H17" s="6" t="str">
        <x:v>calibration F0.5 every 5 epochs and last; earliest tie; 1% cap</x:v>
      </x:c>
      <x:c r="I17" s="6" t="str">
        <x:v>max-channel squared error per arriving target; no future residual averaging</x:v>
      </x:c>
      <x:c r="J17" s="6" t="str">
        <x:v>development folds; sparse calibration; AE has different information and alarm policies; GPU bitwise determinism not guaranteed</x:v>
      </x:c>
      <x:c r="K17" s="6" t="str">
        <x:v>S077</x:v>
      </x:c>
    </x:row>
    <x:row r="18" ht="70" customHeight="1">
      <x:c r="A18" s="6" t="str">
        <x:v>causal_alarm_2003_v1</x:v>
      </x:c>
      <x:c r="B18" s="6" t="str">
        <x:v>Alarm confirmation</x:v>
      </x:c>
      <x:c r="C18" s="6"/>
      <x:c r="D18" s="6" t="n">
        <x:v>42</x:v>
      </x:c>
      <x:c r="E18" s="6"/>
      <x:c r="F18" s="6"/>
      <x:c r="G18" s="6" t="str">
        <x:v>40–47</x:v>
      </x:c>
      <x:c r="H18" s="6" t="str">
        <x:v>calibration F0.5; ties: nominal alarm seconds, shorter window, fewer hits, higher threshold</x:v>
      </x:c>
      <x:c r="I18" s="6" t="str">
        <x:v>Reused forecast scores with repeated-hit confirmation. No new model training.</x:v>
      </x:c>
      <x:c r="J18" s="6" t="str">
        <x:v>Existing forecast checkpoints. Calibration chooses hits/window. No retraining.</x:v>
      </x:c>
      <x:c r="K18" s="6" t="str">
        <x:v>S080</x:v>
      </x:c>
    </x:row>
    <x:row r="19" ht="70" customHeight="1">
      <x:c r="A19" s="6" t="str">
        <x:v>ch40_47_train2000_2005_seed42</x:v>
      </x:c>
      <x:c r="B19" s="6" t="str">
        <x:v>Full-period baseline</x:v>
      </x:c>
      <x:c r="C19" s="6" t="n">
        <x:v>40</x:v>
      </x:c>
      <x:c r="D19" s="6" t="n">
        <x:v>42</x:v>
      </x:c>
      <x:c r="E19" s="6" t="n">
        <x:v>64</x:v>
      </x:c>
      <x:c r="F19" s="6" t="n">
        <x:v>0</x:v>
      </x:c>
      <x:c r="G19" s="6" t="str">
        <x:v>40, 41, 42, 43, 44, 45, 46, 47</x:v>
      </x:c>
      <x:c r="H19" s="6" t="str">
        <x:v>2006 corrected calibration F0.5 every 5 epochs and final epoch; earliest tie</x:v>
      </x:c>
      <x:c r="I19" s="6" t="str">
        <x:v>window_mean</x:v>
      </x:c>
      <x:c r="J19" s="6" t="str">
        <x:v>Retrospective AE; inherited prepared preprocessing; later-period covariates and historical test results previously inspected; not untouched test. More years and uncapped window budget both differ from historical development runs.</x:v>
      </x:c>
      <x:c r="K19" s="6" t="str">
        <x:v>S082</x:v>
      </x:c>
    </x:row>
    <x:row r="20" ht="70" customHeight="1">
      <x:c r="A20" s="6" t="str">
        <x:v>ch40_47_dual_scope_v1</x:v>
      </x:c>
      <x:c r="B20" s="6" t="str">
        <x:v>Full-period baseline</x:v>
      </x:c>
      <x:c r="C20" s="6" t="n">
        <x:v>40</x:v>
      </x:c>
      <x:c r="D20" s="6" t="n">
        <x:v>42</x:v>
      </x:c>
      <x:c r="E20" s="6" t="n">
        <x:v>64</x:v>
      </x:c>
      <x:c r="F20" s="6" t="n">
        <x:v>0</x:v>
      </x:c>
      <x:c r="G20" s="6" t="str">
        <x:v>40, 41, 42, 43, 44, 45, 46, 47</x:v>
      </x:c>
      <x:c r="H20" s="6" t="str">
        <x:v>2006 corrected calibration F0.5 every 5 epochs and final epoch; earliest tie</x:v>
      </x:c>
      <x:c r="I20" s="6" t="str">
        <x:v>window_mean</x:v>
      </x:c>
      <x:c r="J20" s="6" t="str">
        <x:v>Retrospective AE; inherited prepared preprocessing; later-period covariates and historical test results previously inspected; not untouched test. More years and uncapped window budget both differ from historical development runs.</x:v>
      </x:c>
      <x:c r="K20" s="6" t="str">
        <x:v>S082</x:v>
      </x:c>
    </x:row>
    <x:row r="21" ht="70" customHeight="1">
      <x:c r="A21" s="6" t="str">
        <x:v>full_period_seed42_v1</x:v>
      </x:c>
      <x:c r="B21" s="6" t="str">
        <x:v>Timing comparison</x:v>
      </x:c>
      <x:c r="C21" s="6" t="n">
        <x:v>5</x:v>
      </x:c>
      <x:c r="D21" s="6" t="n">
        <x:v>42</x:v>
      </x:c>
      <x:c r="E21" s="6" t="n">
        <x:v>64</x:v>
      </x:c>
      <x:c r="F21" s="6" t="n">
        <x:v>0</x:v>
      </x:c>
      <x:c r="G21" s="6" t="str">
        <x:v>40, 41, 42, 43, 44, 45, 46, 47</x:v>
      </x:c>
      <x:c r="H21" s="6" t="str">
        <x:v>Each arm: calibration every epoch, earliest F0.5 tie; freeze BOTH before assessment</x:v>
      </x:c>
      <x:c r="I21" s="6" t="str">
        <x:v>See method guide</x:v>
      </x:c>
      <x:c r="J21" s="6" t="str">
        <x:v>Retrospective reconstruction; inherited telemetry preparation; benchmark previously inspected, not untouched test. Five-epoch matched comparison is not the historical40epoch baseline. Intermittent integrity fault remains unresolved; gates do not certify hardware.</x:v>
      </x:c>
      <x:c r="K21" s="6" t="str">
        <x:v>S087</x:v>
      </x:c>
    </x:row>
    <x:row r="22" ht="70" customHeight="1">
      <x:c r="A22" s="6" t="str">
        <x:v>paired_v1</x:v>
      </x:c>
      <x:c r="B22" s="6" t="str">
        <x:v>Historical scoring pair</x:v>
      </x:c>
      <x:c r="C22" s="6"/>
      <x:c r="D22" s="6"/>
      <x:c r="E22" s="6" t="n">
        <x:v>64</x:v>
      </x:c>
      <x:c r="F22" s="6"/>
      <x:c r="G22" s="6" t="str">
        <x:v>40, 41, 42, 43, 44, 45, 46, 47</x:v>
      </x:c>
      <x:c r="H22" s="6" t="str">
        <x:v>See source protocol</x:v>
      </x:c>
      <x:c r="I22" s="6" t="str">
        <x:v>See method guide</x:v>
      </x:c>
      <x:c r="J22" s="6" t="str">
        <x:v>Retrospective scores; old weights and historical test exposure; uncovered edge samples remain zero in both modes.</x:v>
      </x:c>
      <x:c r="K22" s="6" t="str">
        <x:v>S092</x:v>
      </x:c>
    </x:row>
  </x:sheetData>
  <x:pageMargins left="0.7" right="0.7" top="0.75" bottom="0.75" header="0.3" footer="0.3"/>
  <x:tableParts count="1">
    <x:tablePart xmlns:r="http://schemas.openxmlformats.org/officeDocument/2006/relationships" r:id="R545e7420a3534865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35" hidden="0" customWidth="1"/>
    <x:col min="3" max="3" width="13" hidden="0" customWidth="1"/>
    <x:col min="4" max="4" width="20" hidden="0" customWidth="1"/>
    <x:col min="5" max="5" width="20" hidden="0" customWidth="1"/>
    <x:col min="6" max="6" width="20" hidden="0" customWidth="1"/>
    <x:col min="7" max="7" width="22" hidden="0" customWidth="1"/>
    <x:col min="8" max="8" width="20" hidden="0" customWidth="1"/>
    <x:col min="9" max="9" width="13" hidden="0" customWidth="1"/>
  </x:cols>
  <x:sheetData>
    <x:row r="1" ht="45" customHeight="1">
      <x:c r="A1" s="5" t="str">
        <x:v>run</x:v>
      </x:c>
      <x:c r="B1" s="5" t="str">
        <x:v>arm</x:v>
      </x:c>
      <x:c r="C1" s="5" t="str">
        <x:v>epoch</x:v>
      </x:c>
      <x:c r="D1" s="5" t="str">
        <x:v>loss</x:v>
      </x:c>
      <x:c r="E1" s="5" t="str">
        <x:v>normal_mse</x:v>
      </x:c>
      <x:c r="F1" s="5" t="str">
        <x:v>pseudo_penalty</x:v>
      </x:c>
      <x:c r="G1" s="5" t="str">
        <x:v>calibration_f05</x:v>
      </x:c>
      <x:c r="H1" s="5" t="str">
        <x:v>seconds</x:v>
      </x:c>
      <x:c r="I1" s="5" t="str">
        <x:v>source</x:v>
      </x:c>
    </x:row>
    <x:row r="2" ht="27" customHeight="1">
      <x:c r="A2" s="2" t="str">
        <x:v>ae_baseline_2003_seed42</x:v>
      </x:c>
      <x:c r="B2" s="2" t="str">
        <x:v>2003</x:v>
      </x:c>
      <x:c r="C2" s="2" t="n">
        <x:v>1</x:v>
      </x:c>
      <x:c r="D2" s="14" t="n">
        <x:v>4.201062109367616</x:v>
      </x:c>
      <x:c r="E2" s="14"/>
      <x:c r="F2" s="14"/>
      <x:c r="G2" s="14"/>
      <x:c r="H2" s="14"/>
      <x:c r="I2" s="2" t="str">
        <x:v>S003</x:v>
      </x:c>
    </x:row>
    <x:row r="3" ht="27" customHeight="1">
      <x:c r="A3" s="2" t="str">
        <x:v>ae_baseline_2003_seed42</x:v>
      </x:c>
      <x:c r="B3" s="2" t="str">
        <x:v>2003</x:v>
      </x:c>
      <x:c r="C3" s="2" t="n">
        <x:v>2</x:v>
      </x:c>
      <x:c r="D3" s="14" t="n">
        <x:v>2.210568292481434</x:v>
      </x:c>
      <x:c r="E3" s="14"/>
      <x:c r="F3" s="14"/>
      <x:c r="G3" s="14"/>
      <x:c r="H3" s="14"/>
      <x:c r="I3" s="2" t="str">
        <x:v>S003</x:v>
      </x:c>
    </x:row>
    <x:row r="4" ht="27" customHeight="1">
      <x:c r="A4" s="2" t="str">
        <x:v>ae_baseline_2003_seed42</x:v>
      </x:c>
      <x:c r="B4" s="2" t="str">
        <x:v>2003</x:v>
      </x:c>
      <x:c r="C4" s="2" t="n">
        <x:v>3</x:v>
      </x:c>
      <x:c r="D4" s="14" t="n">
        <x:v>1.821700656050483</x:v>
      </x:c>
      <x:c r="E4" s="14"/>
      <x:c r="F4" s="14"/>
      <x:c r="G4" s="14"/>
      <x:c r="H4" s="14"/>
      <x:c r="I4" s="2" t="str">
        <x:v>S003</x:v>
      </x:c>
    </x:row>
    <x:row r="5" ht="27" customHeight="1">
      <x:c r="A5" s="2" t="str">
        <x:v>ae_baseline_2003_seed42</x:v>
      </x:c>
      <x:c r="B5" s="2" t="str">
        <x:v>2003</x:v>
      </x:c>
      <x:c r="C5" s="2" t="n">
        <x:v>4</x:v>
      </x:c>
      <x:c r="D5" s="14" t="n">
        <x:v>1.6361677762014837</x:v>
      </x:c>
      <x:c r="E5" s="14"/>
      <x:c r="F5" s="14"/>
      <x:c r="G5" s="14"/>
      <x:c r="H5" s="14"/>
      <x:c r="I5" s="2" t="str">
        <x:v>S003</x:v>
      </x:c>
    </x:row>
    <x:row r="6" ht="27" customHeight="1">
      <x:c r="A6" s="2" t="str">
        <x:v>ae_baseline_2003_seed42</x:v>
      </x:c>
      <x:c r="B6" s="2" t="str">
        <x:v>2003</x:v>
      </x:c>
      <x:c r="C6" s="2" t="n">
        <x:v>5</x:v>
      </x:c>
      <x:c r="D6" s="14" t="n">
        <x:v>1.5615777934638142</x:v>
      </x:c>
      <x:c r="E6" s="14"/>
      <x:c r="F6" s="14"/>
      <x:c r="G6" s="14" t="n">
        <x:v>0.2626267939113995</x:v>
      </x:c>
      <x:c r="H6" s="14"/>
      <x:c r="I6" s="2" t="str">
        <x:v>S003</x:v>
      </x:c>
    </x:row>
    <x:row r="7" ht="27" customHeight="1">
      <x:c r="A7" s="2" t="str">
        <x:v>ae_baseline_2003_seed42</x:v>
      </x:c>
      <x:c r="B7" s="2" t="str">
        <x:v>2003</x:v>
      </x:c>
      <x:c r="C7" s="2" t="n">
        <x:v>6</x:v>
      </x:c>
      <x:c r="D7" s="14" t="n">
        <x:v>1.4939326205399022</x:v>
      </x:c>
      <x:c r="E7" s="14"/>
      <x:c r="F7" s="14"/>
      <x:c r="G7" s="14"/>
      <x:c r="H7" s="14"/>
      <x:c r="I7" s="2" t="str">
        <x:v>S003</x:v>
      </x:c>
    </x:row>
    <x:row r="8" ht="27" customHeight="1">
      <x:c r="A8" s="2" t="str">
        <x:v>ae_baseline_2003_seed42</x:v>
      </x:c>
      <x:c r="B8" s="2" t="str">
        <x:v>2003</x:v>
      </x:c>
      <x:c r="C8" s="2" t="n">
        <x:v>7</x:v>
      </x:c>
      <x:c r="D8" s="14" t="n">
        <x:v>1.4367303452934115</x:v>
      </x:c>
      <x:c r="E8" s="14"/>
      <x:c r="F8" s="14"/>
      <x:c r="G8" s="14"/>
      <x:c r="H8" s="14"/>
      <x:c r="I8" s="2" t="str">
        <x:v>S003</x:v>
      </x:c>
    </x:row>
    <x:row r="9" ht="27" customHeight="1">
      <x:c r="A9" s="2" t="str">
        <x:v>ae_baseline_2003_seed42</x:v>
      </x:c>
      <x:c r="B9" s="2" t="str">
        <x:v>2003</x:v>
      </x:c>
      <x:c r="C9" s="2" t="n">
        <x:v>8</x:v>
      </x:c>
      <x:c r="D9" s="14" t="n">
        <x:v>1.3841741950277693</x:v>
      </x:c>
      <x:c r="E9" s="14"/>
      <x:c r="F9" s="14"/>
      <x:c r="G9" s="14"/>
      <x:c r="H9" s="14"/>
      <x:c r="I9" s="2" t="str">
        <x:v>S003</x:v>
      </x:c>
    </x:row>
    <x:row r="10" ht="27" customHeight="1">
      <x:c r="A10" s="2" t="str">
        <x:v>ae_baseline_2003_seed42</x:v>
      </x:c>
      <x:c r="B10" s="2" t="str">
        <x:v>2003</x:v>
      </x:c>
      <x:c r="C10" s="2" t="n">
        <x:v>9</x:v>
      </x:c>
      <x:c r="D10" s="14" t="n">
        <x:v>1.3375686064656414</x:v>
      </x:c>
      <x:c r="E10" s="14"/>
      <x:c r="F10" s="14"/>
      <x:c r="G10" s="14"/>
      <x:c r="H10" s="14"/>
      <x:c r="I10" s="2" t="str">
        <x:v>S003</x:v>
      </x:c>
    </x:row>
    <x:row r="11" ht="27" customHeight="1">
      <x:c r="A11" s="2" t="str">
        <x:v>ae_baseline_2003_seed42</x:v>
      </x:c>
      <x:c r="B11" s="2" t="str">
        <x:v>2003</x:v>
      </x:c>
      <x:c r="C11" s="2" t="n">
        <x:v>10</x:v>
      </x:c>
      <x:c r="D11" s="14" t="n">
        <x:v>1.295097469875332</x:v>
      </x:c>
      <x:c r="E11" s="14"/>
      <x:c r="F11" s="14"/>
      <x:c r="G11" s="14" t="n">
        <x:v>0.21693829210497695</x:v>
      </x:c>
      <x:c r="H11" s="14"/>
      <x:c r="I11" s="2" t="str">
        <x:v>S003</x:v>
      </x:c>
    </x:row>
    <x:row r="12" ht="27" customHeight="1">
      <x:c r="A12" s="2" t="str">
        <x:v>ae_baseline_2003_seed42</x:v>
      </x:c>
      <x:c r="B12" s="2" t="str">
        <x:v>2003</x:v>
      </x:c>
      <x:c r="C12" s="2" t="n">
        <x:v>11</x:v>
      </x:c>
      <x:c r="D12" s="14" t="n">
        <x:v>1.2525948660871336</x:v>
      </x:c>
      <x:c r="E12" s="14"/>
      <x:c r="F12" s="14"/>
      <x:c r="G12" s="14"/>
      <x:c r="H12" s="14"/>
      <x:c r="I12" s="2" t="str">
        <x:v>S003</x:v>
      </x:c>
    </x:row>
    <x:row r="13" ht="27" customHeight="1">
      <x:c r="A13" s="2" t="str">
        <x:v>ae_baseline_2003_seed42</x:v>
      </x:c>
      <x:c r="B13" s="2" t="str">
        <x:v>2003</x:v>
      </x:c>
      <x:c r="C13" s="2" t="n">
        <x:v>12</x:v>
      </x:c>
      <x:c r="D13" s="14" t="n">
        <x:v>1.2310248524919316</x:v>
      </x:c>
      <x:c r="E13" s="14"/>
      <x:c r="F13" s="14"/>
      <x:c r="G13" s="14"/>
      <x:c r="H13" s="14"/>
      <x:c r="I13" s="2" t="str">
        <x:v>S003</x:v>
      </x:c>
    </x:row>
    <x:row r="14" ht="27" customHeight="1">
      <x:c r="A14" s="2" t="str">
        <x:v>ae_baseline_2003_seed42</x:v>
      </x:c>
      <x:c r="B14" s="2" t="str">
        <x:v>2003</x:v>
      </x:c>
      <x:c r="C14" s="2" t="n">
        <x:v>13</x:v>
      </x:c>
      <x:c r="D14" s="14" t="n">
        <x:v>1.2044755934232165</x:v>
      </x:c>
      <x:c r="E14" s="14"/>
      <x:c r="F14" s="14"/>
      <x:c r="G14" s="14"/>
      <x:c r="H14" s="14"/>
      <x:c r="I14" s="2" t="str">
        <x:v>S003</x:v>
      </x:c>
    </x:row>
    <x:row r="15" ht="27" customHeight="1">
      <x:c r="A15" s="2" t="str">
        <x:v>ae_baseline_2003_seed42</x:v>
      </x:c>
      <x:c r="B15" s="2" t="str">
        <x:v>2003</x:v>
      </x:c>
      <x:c r="C15" s="2" t="n">
        <x:v>14</x:v>
      </x:c>
      <x:c r="D15" s="14" t="n">
        <x:v>1.1680701456044258</x:v>
      </x:c>
      <x:c r="E15" s="14"/>
      <x:c r="F15" s="14"/>
      <x:c r="G15" s="14"/>
      <x:c r="H15" s="14"/>
      <x:c r="I15" s="2" t="str">
        <x:v>S003</x:v>
      </x:c>
    </x:row>
    <x:row r="16" ht="27" customHeight="1">
      <x:c r="A16" s="2" t="str">
        <x:v>ae_baseline_2003_seed42</x:v>
      </x:c>
      <x:c r="B16" s="2" t="str">
        <x:v>2003</x:v>
      </x:c>
      <x:c r="C16" s="2" t="n">
        <x:v>15</x:v>
      </x:c>
      <x:c r="D16" s="14" t="n">
        <x:v>1.1513184716746787</x:v>
      </x:c>
      <x:c r="E16" s="14"/>
      <x:c r="F16" s="14"/>
      <x:c r="G16" s="14" t="n">
        <x:v>0.26293925482953195</x:v>
      </x:c>
      <x:c r="H16" s="14"/>
      <x:c r="I16" s="2" t="str">
        <x:v>S003</x:v>
      </x:c>
    </x:row>
    <x:row r="17" ht="27" customHeight="1">
      <x:c r="A17" s="2" t="str">
        <x:v>ae_baseline_2003_seed42</x:v>
      </x:c>
      <x:c r="B17" s="2" t="str">
        <x:v>2003</x:v>
      </x:c>
      <x:c r="C17" s="2" t="n">
        <x:v>16</x:v>
      </x:c>
      <x:c r="D17" s="14" t="n">
        <x:v>1.1235055564293859</x:v>
      </x:c>
      <x:c r="E17" s="14"/>
      <x:c r="F17" s="14"/>
      <x:c r="G17" s="14"/>
      <x:c r="H17" s="14"/>
      <x:c r="I17" s="2" t="str">
        <x:v>S003</x:v>
      </x:c>
    </x:row>
    <x:row r="18" ht="27" customHeight="1">
      <x:c r="A18" s="2" t="str">
        <x:v>ae_baseline_2003_seed42</x:v>
      </x:c>
      <x:c r="B18" s="2" t="str">
        <x:v>2003</x:v>
      </x:c>
      <x:c r="C18" s="2" t="n">
        <x:v>17</x:v>
      </x:c>
      <x:c r="D18" s="14" t="n">
        <x:v>1.1015098646903578</x:v>
      </x:c>
      <x:c r="E18" s="14"/>
      <x:c r="F18" s="14"/>
      <x:c r="G18" s="14"/>
      <x:c r="H18" s="14"/>
      <x:c r="I18" s="2" t="str">
        <x:v>S003</x:v>
      </x:c>
    </x:row>
    <x:row r="19" ht="27" customHeight="1">
      <x:c r="A19" s="2" t="str">
        <x:v>ae_baseline_2003_seed42</x:v>
      </x:c>
      <x:c r="B19" s="2" t="str">
        <x:v>2003</x:v>
      </x:c>
      <x:c r="C19" s="2" t="n">
        <x:v>18</x:v>
      </x:c>
      <x:c r="D19" s="14" t="n">
        <x:v>1.1050342427929924</x:v>
      </x:c>
      <x:c r="E19" s="14"/>
      <x:c r="F19" s="14"/>
      <x:c r="G19" s="14"/>
      <x:c r="H19" s="14"/>
      <x:c r="I19" s="2" t="str">
        <x:v>S003</x:v>
      </x:c>
    </x:row>
    <x:row r="20" ht="27" customHeight="1">
      <x:c r="A20" s="2" t="str">
        <x:v>ae_baseline_2003_seed42</x:v>
      </x:c>
      <x:c r="B20" s="2" t="str">
        <x:v>2003</x:v>
      </x:c>
      <x:c r="C20" s="2" t="n">
        <x:v>19</x:v>
      </x:c>
      <x:c r="D20" s="14" t="n">
        <x:v>1.080380423474782</x:v>
      </x:c>
      <x:c r="E20" s="14"/>
      <x:c r="F20" s="14"/>
      <x:c r="G20" s="14"/>
      <x:c r="H20" s="14"/>
      <x:c r="I20" s="2" t="str">
        <x:v>S003</x:v>
      </x:c>
    </x:row>
    <x:row r="21" ht="27" customHeight="1">
      <x:c r="A21" s="2" t="str">
        <x:v>ae_baseline_2003_seed42</x:v>
      </x:c>
      <x:c r="B21" s="2" t="str">
        <x:v>2003</x:v>
      </x:c>
      <x:c r="C21" s="2" t="n">
        <x:v>20</x:v>
      </x:c>
      <x:c r="D21" s="14" t="n">
        <x:v>1.0530569309340156</x:v>
      </x:c>
      <x:c r="E21" s="14"/>
      <x:c r="F21" s="14"/>
      <x:c r="G21" s="14" t="n">
        <x:v>0.3332205856389364</x:v>
      </x:c>
      <x:c r="H21" s="14"/>
      <x:c r="I21" s="2" t="str">
        <x:v>S003</x:v>
      </x:c>
    </x:row>
    <x:row r="22" ht="27" customHeight="1">
      <x:c r="A22" s="2" t="str">
        <x:v>ae_baseline_2003_seed42</x:v>
      </x:c>
      <x:c r="B22" s="2" t="str">
        <x:v>2003</x:v>
      </x:c>
      <x:c r="C22" s="2" t="n">
        <x:v>21</x:v>
      </x:c>
      <x:c r="D22" s="14" t="n">
        <x:v>1.0482253799387753</x:v>
      </x:c>
      <x:c r="E22" s="14"/>
      <x:c r="F22" s="14"/>
      <x:c r="G22" s="14"/>
      <x:c r="H22" s="14"/>
      <x:c r="I22" s="2" t="str">
        <x:v>S003</x:v>
      </x:c>
    </x:row>
    <x:row r="23" ht="27" customHeight="1">
      <x:c r="A23" s="2" t="str">
        <x:v>ae_baseline_2003_seed42</x:v>
      </x:c>
      <x:c r="B23" s="2" t="str">
        <x:v>2003</x:v>
      </x:c>
      <x:c r="C23" s="2" t="n">
        <x:v>22</x:v>
      </x:c>
      <x:c r="D23" s="14" t="n">
        <x:v>1.0262423714553466</x:v>
      </x:c>
      <x:c r="E23" s="14"/>
      <x:c r="F23" s="14"/>
      <x:c r="G23" s="14"/>
      <x:c r="H23" s="14"/>
      <x:c r="I23" s="2" t="str">
        <x:v>S003</x:v>
      </x:c>
    </x:row>
    <x:row r="24" ht="27" customHeight="1">
      <x:c r="A24" s="2" t="str">
        <x:v>ae_baseline_2003_seed42</x:v>
      </x:c>
      <x:c r="B24" s="2" t="str">
        <x:v>2003</x:v>
      </x:c>
      <x:c r="C24" s="2" t="n">
        <x:v>23</x:v>
      </x:c>
      <x:c r="D24" s="14" t="n">
        <x:v>1.0287224596231588</x:v>
      </x:c>
      <x:c r="E24" s="14"/>
      <x:c r="F24" s="14"/>
      <x:c r="G24" s="14"/>
      <x:c r="H24" s="14"/>
      <x:c r="I24" s="2" t="str">
        <x:v>S003</x:v>
      </x:c>
    </x:row>
    <x:row r="25" ht="27" customHeight="1">
      <x:c r="A25" s="2" t="str">
        <x:v>ae_baseline_2003_seed42</x:v>
      </x:c>
      <x:c r="B25" s="2" t="str">
        <x:v>2003</x:v>
      </x:c>
      <x:c r="C25" s="2" t="n">
        <x:v>24</x:v>
      </x:c>
      <x:c r="D25" s="14" t="n">
        <x:v>1.006786440580082</x:v>
      </x:c>
      <x:c r="E25" s="14"/>
      <x:c r="F25" s="14"/>
      <x:c r="G25" s="14"/>
      <x:c r="H25" s="14"/>
      <x:c r="I25" s="2" t="str">
        <x:v>S003</x:v>
      </x:c>
    </x:row>
    <x:row r="26" ht="27" customHeight="1">
      <x:c r="A26" s="2" t="str">
        <x:v>ae_baseline_2003_seed42</x:v>
      </x:c>
      <x:c r="B26" s="2" t="str">
        <x:v>2003</x:v>
      </x:c>
      <x:c r="C26" s="2" t="n">
        <x:v>25</x:v>
      </x:c>
      <x:c r="D26" s="14" t="n">
        <x:v>0.98337870797073</x:v>
      </x:c>
      <x:c r="E26" s="14"/>
      <x:c r="F26" s="14"/>
      <x:c r="G26" s="14" t="n">
        <x:v>0.7142410612656628</x:v>
      </x:c>
      <x:c r="H26" s="14"/>
      <x:c r="I26" s="2" t="str">
        <x:v>S003</x:v>
      </x:c>
    </x:row>
    <x:row r="27" ht="27" customHeight="1">
      <x:c r="A27" s="2" t="str">
        <x:v>ae_baseline_2003_seed42</x:v>
      </x:c>
      <x:c r="B27" s="2" t="str">
        <x:v>2003</x:v>
      </x:c>
      <x:c r="C27" s="2" t="n">
        <x:v>26</x:v>
      </x:c>
      <x:c r="D27" s="14" t="n">
        <x:v>0.9888383045022486</x:v>
      </x:c>
      <x:c r="E27" s="14"/>
      <x:c r="F27" s="14"/>
      <x:c r="G27" s="14"/>
      <x:c r="H27" s="14"/>
      <x:c r="I27" s="2" t="str">
        <x:v>S003</x:v>
      </x:c>
    </x:row>
    <x:row r="28" ht="27" customHeight="1">
      <x:c r="A28" s="2" t="str">
        <x:v>ae_baseline_2003_seed42</x:v>
      </x:c>
      <x:c r="B28" s="2" t="str">
        <x:v>2003</x:v>
      </x:c>
      <x:c r="C28" s="2" t="n">
        <x:v>27</x:v>
      </x:c>
      <x:c r="D28" s="14" t="n">
        <x:v>0.9807447647230959</x:v>
      </x:c>
      <x:c r="E28" s="14"/>
      <x:c r="F28" s="14"/>
      <x:c r="G28" s="14"/>
      <x:c r="H28" s="14"/>
      <x:c r="I28" s="2" t="str">
        <x:v>S003</x:v>
      </x:c>
    </x:row>
    <x:row r="29" ht="27" customHeight="1">
      <x:c r="A29" s="2" t="str">
        <x:v>ae_baseline_2003_seed42</x:v>
      </x:c>
      <x:c r="B29" s="2" t="str">
        <x:v>2003</x:v>
      </x:c>
      <x:c r="C29" s="2" t="n">
        <x:v>28</x:v>
      </x:c>
      <x:c r="D29" s="14" t="n">
        <x:v>0.9727900234983732</x:v>
      </x:c>
      <x:c r="E29" s="14"/>
      <x:c r="F29" s="14"/>
      <x:c r="G29" s="14"/>
      <x:c r="H29" s="14"/>
      <x:c r="I29" s="2" t="str">
        <x:v>S003</x:v>
      </x:c>
    </x:row>
    <x:row r="30" ht="27" customHeight="1">
      <x:c r="A30" s="2" t="str">
        <x:v>ae_baseline_2003_seed42</x:v>
      </x:c>
      <x:c r="B30" s="2" t="str">
        <x:v>2003</x:v>
      </x:c>
      <x:c r="C30" s="2" t="n">
        <x:v>29</x:v>
      </x:c>
      <x:c r="D30" s="14" t="n">
        <x:v>0.9435015581738696</x:v>
      </x:c>
      <x:c r="E30" s="14"/>
      <x:c r="F30" s="14"/>
      <x:c r="G30" s="14"/>
      <x:c r="H30" s="14"/>
      <x:c r="I30" s="2" t="str">
        <x:v>S003</x:v>
      </x:c>
    </x:row>
    <x:row r="31" ht="27" customHeight="1">
      <x:c r="A31" s="2" t="str">
        <x:v>ae_baseline_2003_seed42</x:v>
      </x:c>
      <x:c r="B31" s="2" t="str">
        <x:v>2003</x:v>
      </x:c>
      <x:c r="C31" s="2" t="n">
        <x:v>30</x:v>
      </x:c>
      <x:c r="D31" s="14" t="n">
        <x:v>0.9486231493516679</x:v>
      </x:c>
      <x:c r="E31" s="14"/>
      <x:c r="F31" s="14"/>
      <x:c r="G31" s="14" t="n">
        <x:v>0.7141835329272609</x:v>
      </x:c>
      <x:c r="H31" s="14"/>
      <x:c r="I31" s="2" t="str">
        <x:v>S003</x:v>
      </x:c>
    </x:row>
    <x:row r="32" ht="27" customHeight="1">
      <x:c r="A32" s="2" t="str">
        <x:v>ae_baseline_2003_seed42</x:v>
      </x:c>
      <x:c r="B32" s="2" t="str">
        <x:v>2003</x:v>
      </x:c>
      <x:c r="C32" s="2" t="n">
        <x:v>31</x:v>
      </x:c>
      <x:c r="D32" s="14" t="n">
        <x:v>0.9609832543651169</x:v>
      </x:c>
      <x:c r="E32" s="14"/>
      <x:c r="F32" s="14"/>
      <x:c r="G32" s="14"/>
      <x:c r="H32" s="14"/>
      <x:c r="I32" s="2" t="str">
        <x:v>S003</x:v>
      </x:c>
    </x:row>
    <x:row r="33" ht="27" customHeight="1">
      <x:c r="A33" s="2" t="str">
        <x:v>ae_baseline_2003_seed42</x:v>
      </x:c>
      <x:c r="B33" s="2" t="str">
        <x:v>2003</x:v>
      </x:c>
      <x:c r="C33" s="2" t="n">
        <x:v>32</x:v>
      </x:c>
      <x:c r="D33" s="14" t="n">
        <x:v>0.9468277092639376</x:v>
      </x:c>
      <x:c r="E33" s="14"/>
      <x:c r="F33" s="14"/>
      <x:c r="G33" s="14"/>
      <x:c r="H33" s="14"/>
      <x:c r="I33" s="2" t="str">
        <x:v>S003</x:v>
      </x:c>
    </x:row>
    <x:row r="34" ht="27" customHeight="1">
      <x:c r="A34" s="2" t="str">
        <x:v>ae_baseline_2003_seed42</x:v>
      </x:c>
      <x:c r="B34" s="2" t="str">
        <x:v>2003</x:v>
      </x:c>
      <x:c r="C34" s="2" t="n">
        <x:v>33</x:v>
      </x:c>
      <x:c r="D34" s="14" t="n">
        <x:v>0.9177675204796457</x:v>
      </x:c>
      <x:c r="E34" s="14"/>
      <x:c r="F34" s="14"/>
      <x:c r="G34" s="14"/>
      <x:c r="H34" s="14"/>
      <x:c r="I34" s="2" t="str">
        <x:v>S003</x:v>
      </x:c>
    </x:row>
    <x:row r="35" ht="27" customHeight="1">
      <x:c r="A35" s="2" t="str">
        <x:v>ae_baseline_2003_seed42</x:v>
      </x:c>
      <x:c r="B35" s="2" t="str">
        <x:v>2003</x:v>
      </x:c>
      <x:c r="C35" s="2" t="n">
        <x:v>34</x:v>
      </x:c>
      <x:c r="D35" s="14" t="n">
        <x:v>0.9199385174718149</x:v>
      </x:c>
      <x:c r="E35" s="14"/>
      <x:c r="F35" s="14"/>
      <x:c r="G35" s="14"/>
      <x:c r="H35" s="14"/>
      <x:c r="I35" s="2" t="str">
        <x:v>S003</x:v>
      </x:c>
    </x:row>
    <x:row r="36" ht="27" customHeight="1">
      <x:c r="A36" s="2" t="str">
        <x:v>ae_baseline_2003_seed42</x:v>
      </x:c>
      <x:c r="B36" s="2" t="str">
        <x:v>2003</x:v>
      </x:c>
      <x:c r="C36" s="2" t="n">
        <x:v>35</x:v>
      </x:c>
      <x:c r="D36" s="14" t="n">
        <x:v>0.9288514397216592</x:v>
      </x:c>
      <x:c r="E36" s="14"/>
      <x:c r="F36" s="14"/>
      <x:c r="G36" s="14" t="n">
        <x:v>0.7141835329272609</x:v>
      </x:c>
      <x:c r="H36" s="14"/>
      <x:c r="I36" s="2" t="str">
        <x:v>S003</x:v>
      </x:c>
    </x:row>
    <x:row r="37" ht="27" customHeight="1">
      <x:c r="A37" s="2" t="str">
        <x:v>ae_baseline_2003_seed42</x:v>
      </x:c>
      <x:c r="B37" s="2" t="str">
        <x:v>2003</x:v>
      </x:c>
      <x:c r="C37" s="2" t="n">
        <x:v>36</x:v>
      </x:c>
      <x:c r="D37" s="14" t="n">
        <x:v>0.919469158179443</x:v>
      </x:c>
      <x:c r="E37" s="14"/>
      <x:c r="F37" s="14"/>
      <x:c r="G37" s="14"/>
      <x:c r="H37" s="14"/>
      <x:c r="I37" s="2" t="str">
        <x:v>S003</x:v>
      </x:c>
    </x:row>
    <x:row r="38" ht="27" customHeight="1">
      <x:c r="A38" s="2" t="str">
        <x:v>ae_baseline_2003_seed42</x:v>
      </x:c>
      <x:c r="B38" s="2" t="str">
        <x:v>2003</x:v>
      </x:c>
      <x:c r="C38" s="2" t="n">
        <x:v>37</x:v>
      </x:c>
      <x:c r="D38" s="14" t="n">
        <x:v>0.9221880781587412</x:v>
      </x:c>
      <x:c r="E38" s="14"/>
      <x:c r="F38" s="14"/>
      <x:c r="G38" s="14"/>
      <x:c r="H38" s="14"/>
      <x:c r="I38" s="2" t="str">
        <x:v>S003</x:v>
      </x:c>
    </x:row>
    <x:row r="39" ht="27" customHeight="1">
      <x:c r="A39" s="2" t="str">
        <x:v>ae_baseline_2003_seed42</x:v>
      </x:c>
      <x:c r="B39" s="2" t="str">
        <x:v>2003</x:v>
      </x:c>
      <x:c r="C39" s="2" t="n">
        <x:v>38</x:v>
      </x:c>
      <x:c r="D39" s="14" t="n">
        <x:v>0.9221877702086663</x:v>
      </x:c>
      <x:c r="E39" s="14"/>
      <x:c r="F39" s="14"/>
      <x:c r="G39" s="14"/>
      <x:c r="H39" s="14"/>
      <x:c r="I39" s="2" t="str">
        <x:v>S003</x:v>
      </x:c>
    </x:row>
    <x:row r="40" ht="27" customHeight="1">
      <x:c r="A40" s="2" t="str">
        <x:v>ae_baseline_2003_seed42</x:v>
      </x:c>
      <x:c r="B40" s="2" t="str">
        <x:v>2003</x:v>
      </x:c>
      <x:c r="C40" s="2" t="n">
        <x:v>39</x:v>
      </x:c>
      <x:c r="D40" s="14" t="n">
        <x:v>0.9098840812976295</x:v>
      </x:c>
      <x:c r="E40" s="14"/>
      <x:c r="F40" s="14"/>
      <x:c r="G40" s="14"/>
      <x:c r="H40" s="14"/>
      <x:c r="I40" s="2" t="str">
        <x:v>S003</x:v>
      </x:c>
    </x:row>
    <x:row r="41" ht="27" customHeight="1">
      <x:c r="A41" s="2" t="str">
        <x:v>ae_baseline_2003_seed42</x:v>
      </x:c>
      <x:c r="B41" s="2" t="str">
        <x:v>2003</x:v>
      </x:c>
      <x:c r="C41" s="2" t="n">
        <x:v>40</x:v>
      </x:c>
      <x:c r="D41" s="14" t="n">
        <x:v>0.9033011576341746</x:v>
      </x:c>
      <x:c r="E41" s="14"/>
      <x:c r="F41" s="14"/>
      <x:c r="G41" s="14" t="n">
        <x:v>0.4544626993185181</x:v>
      </x:c>
      <x:c r="H41" s="14"/>
      <x:c r="I41" s="2" t="str">
        <x:v>S003</x:v>
      </x:c>
    </x:row>
    <x:row r="42" ht="27" customHeight="1">
      <x:c r="A42" s="2" t="str">
        <x:v>ae_baseline_remaining_seed42</x:v>
      </x:c>
      <x:c r="B42" s="2" t="str">
        <x:v>2004</x:v>
      </x:c>
      <x:c r="C42" s="2" t="n">
        <x:v>1</x:v>
      </x:c>
      <x:c r="D42" s="14" t="n">
        <x:v>3.896574408781486</x:v>
      </x:c>
      <x:c r="E42" s="14"/>
      <x:c r="F42" s="14"/>
      <x:c r="G42" s="14"/>
      <x:c r="H42" s="14"/>
      <x:c r="I42" s="2" t="str">
        <x:v>S006</x:v>
      </x:c>
    </x:row>
    <x:row r="43" ht="27" customHeight="1">
      <x:c r="A43" s="2" t="str">
        <x:v>ae_baseline_remaining_seed42</x:v>
      </x:c>
      <x:c r="B43" s="2" t="str">
        <x:v>2004</x:v>
      </x:c>
      <x:c r="C43" s="2" t="n">
        <x:v>2</x:v>
      </x:c>
      <x:c r="D43" s="14" t="n">
        <x:v>2.2091368862630363</x:v>
      </x:c>
      <x:c r="E43" s="14"/>
      <x:c r="F43" s="14"/>
      <x:c r="G43" s="14"/>
      <x:c r="H43" s="14"/>
      <x:c r="I43" s="2" t="str">
        <x:v>S006</x:v>
      </x:c>
    </x:row>
    <x:row r="44" ht="27" customHeight="1">
      <x:c r="A44" s="2" t="str">
        <x:v>ae_baseline_remaining_seed42</x:v>
      </x:c>
      <x:c r="B44" s="2" t="str">
        <x:v>2004</x:v>
      </x:c>
      <x:c r="C44" s="2" t="n">
        <x:v>3</x:v>
      </x:c>
      <x:c r="D44" s="14" t="n">
        <x:v>1.8279803836666983</x:v>
      </x:c>
      <x:c r="E44" s="14"/>
      <x:c r="F44" s="14"/>
      <x:c r="G44" s="14"/>
      <x:c r="H44" s="14"/>
      <x:c r="I44" s="2" t="str">
        <x:v>S006</x:v>
      </x:c>
    </x:row>
    <x:row r="45" ht="27" customHeight="1">
      <x:c r="A45" s="2" t="str">
        <x:v>ae_baseline_remaining_seed42</x:v>
      </x:c>
      <x:c r="B45" s="2" t="str">
        <x:v>2004</x:v>
      </x:c>
      <x:c r="C45" s="2" t="n">
        <x:v>4</x:v>
      </x:c>
      <x:c r="D45" s="14" t="n">
        <x:v>1.657500452772006</x:v>
      </x:c>
      <x:c r="E45" s="14"/>
      <x:c r="F45" s="14"/>
      <x:c r="G45" s="14"/>
      <x:c r="H45" s="14"/>
      <x:c r="I45" s="2" t="str">
        <x:v>S006</x:v>
      </x:c>
    </x:row>
    <x:row r="46" ht="27" customHeight="1">
      <x:c r="A46" s="2" t="str">
        <x:v>ae_baseline_remaining_seed42</x:v>
      </x:c>
      <x:c r="B46" s="2" t="str">
        <x:v>2004</x:v>
      </x:c>
      <x:c r="C46" s="2" t="n">
        <x:v>5</x:v>
      </x:c>
      <x:c r="D46" s="14" t="n">
        <x:v>1.5334095058715735</x:v>
      </x:c>
      <x:c r="E46" s="14"/>
      <x:c r="F46" s="14"/>
      <x:c r="G46" s="14" t="n">
        <x:v>0.12081105085705214</x:v>
      </x:c>
      <x:c r="H46" s="14"/>
      <x:c r="I46" s="2" t="str">
        <x:v>S006</x:v>
      </x:c>
    </x:row>
    <x:row r="47" ht="27" customHeight="1">
      <x:c r="A47" s="2" t="str">
        <x:v>ae_baseline_remaining_seed42</x:v>
      </x:c>
      <x:c r="B47" s="2" t="str">
        <x:v>2004</x:v>
      </x:c>
      <x:c r="C47" s="2" t="n">
        <x:v>6</x:v>
      </x:c>
      <x:c r="D47" s="14" t="n">
        <x:v>1.4070841776084875</x:v>
      </x:c>
      <x:c r="E47" s="14"/>
      <x:c r="F47" s="14"/>
      <x:c r="G47" s="14"/>
      <x:c r="H47" s="14"/>
      <x:c r="I47" s="2" t="str">
        <x:v>S006</x:v>
      </x:c>
    </x:row>
    <x:row r="48" ht="27" customHeight="1">
      <x:c r="A48" s="2" t="str">
        <x:v>ae_baseline_remaining_seed42</x:v>
      </x:c>
      <x:c r="B48" s="2" t="str">
        <x:v>2004</x:v>
      </x:c>
      <x:c r="C48" s="2" t="n">
        <x:v>7</x:v>
      </x:c>
      <x:c r="D48" s="14" t="n">
        <x:v>1.3495352252437476</x:v>
      </x:c>
      <x:c r="E48" s="14"/>
      <x:c r="F48" s="14"/>
      <x:c r="G48" s="14"/>
      <x:c r="H48" s="14"/>
      <x:c r="I48" s="2" t="str">
        <x:v>S006</x:v>
      </x:c>
    </x:row>
    <x:row r="49" ht="27" customHeight="1">
      <x:c r="A49" s="2" t="str">
        <x:v>ae_baseline_remaining_seed42</x:v>
      </x:c>
      <x:c r="B49" s="2" t="str">
        <x:v>2004</x:v>
      </x:c>
      <x:c r="C49" s="2" t="n">
        <x:v>8</x:v>
      </x:c>
      <x:c r="D49" s="14" t="n">
        <x:v>1.3093125536335999</x:v>
      </x:c>
      <x:c r="E49" s="14"/>
      <x:c r="F49" s="14"/>
      <x:c r="G49" s="14"/>
      <x:c r="H49" s="14"/>
      <x:c r="I49" s="2" t="str">
        <x:v>S006</x:v>
      </x:c>
    </x:row>
    <x:row r="50" ht="27" customHeight="1">
      <x:c r="A50" s="2" t="str">
        <x:v>ae_baseline_remaining_seed42</x:v>
      </x:c>
      <x:c r="B50" s="2" t="str">
        <x:v>2004</x:v>
      </x:c>
      <x:c r="C50" s="2" t="n">
        <x:v>9</x:v>
      </x:c>
      <x:c r="D50" s="14" t="n">
        <x:v>1.2559522882148546</x:v>
      </x:c>
      <x:c r="E50" s="14"/>
      <x:c r="F50" s="14"/>
      <x:c r="G50" s="14"/>
      <x:c r="H50" s="14"/>
      <x:c r="I50" s="2" t="str">
        <x:v>S006</x:v>
      </x:c>
    </x:row>
    <x:row r="51" ht="27" customHeight="1">
      <x:c r="A51" s="2" t="str">
        <x:v>ae_baseline_remaining_seed42</x:v>
      </x:c>
      <x:c r="B51" s="2" t="str">
        <x:v>2004</x:v>
      </x:c>
      <x:c r="C51" s="2" t="n">
        <x:v>10</x:v>
      </x:c>
      <x:c r="D51" s="14" t="n">
        <x:v>1.2122864158559878</x:v>
      </x:c>
      <x:c r="E51" s="14"/>
      <x:c r="F51" s="14"/>
      <x:c r="G51" s="14" t="n">
        <x:v>0</x:v>
      </x:c>
      <x:c r="H51" s="14"/>
      <x:c r="I51" s="2" t="str">
        <x:v>S006</x:v>
      </x:c>
    </x:row>
    <x:row r="52" ht="27" customHeight="1">
      <x:c r="A52" s="2" t="str">
        <x:v>ae_baseline_remaining_seed42</x:v>
      </x:c>
      <x:c r="B52" s="2" t="str">
        <x:v>2004</x:v>
      </x:c>
      <x:c r="C52" s="2" t="n">
        <x:v>11</x:v>
      </x:c>
      <x:c r="D52" s="14" t="n">
        <x:v>1.1826138211865047</x:v>
      </x:c>
      <x:c r="E52" s="14"/>
      <x:c r="F52" s="14"/>
      <x:c r="G52" s="14"/>
      <x:c r="H52" s="14"/>
      <x:c r="I52" s="2" t="str">
        <x:v>S006</x:v>
      </x:c>
    </x:row>
    <x:row r="53" ht="27" customHeight="1">
      <x:c r="A53" s="2" t="str">
        <x:v>ae_baseline_remaining_seed42</x:v>
      </x:c>
      <x:c r="B53" s="2" t="str">
        <x:v>2004</x:v>
      </x:c>
      <x:c r="C53" s="2" t="n">
        <x:v>12</x:v>
      </x:c>
      <x:c r="D53" s="14" t="n">
        <x:v>1.1422343664449404</x:v>
      </x:c>
      <x:c r="E53" s="14"/>
      <x:c r="F53" s="14"/>
      <x:c r="G53" s="14"/>
      <x:c r="H53" s="14"/>
      <x:c r="I53" s="2" t="str">
        <x:v>S006</x:v>
      </x:c>
    </x:row>
    <x:row r="54" ht="27" customHeight="1">
      <x:c r="A54" s="2" t="str">
        <x:v>ae_baseline_remaining_seed42</x:v>
      </x:c>
      <x:c r="B54" s="2" t="str">
        <x:v>2004</x:v>
      </x:c>
      <x:c r="C54" s="2" t="n">
        <x:v>13</x:v>
      </x:c>
      <x:c r="D54" s="14" t="n">
        <x:v>1.110612690976164</x:v>
      </x:c>
      <x:c r="E54" s="14"/>
      <x:c r="F54" s="14"/>
      <x:c r="G54" s="14"/>
      <x:c r="H54" s="14"/>
      <x:c r="I54" s="2" t="str">
        <x:v>S006</x:v>
      </x:c>
    </x:row>
    <x:row r="55" ht="27" customHeight="1">
      <x:c r="A55" s="2" t="str">
        <x:v>ae_baseline_remaining_seed42</x:v>
      </x:c>
      <x:c r="B55" s="2" t="str">
        <x:v>2004</x:v>
      </x:c>
      <x:c r="C55" s="2" t="n">
        <x:v>14</x:v>
      </x:c>
      <x:c r="D55" s="14" t="n">
        <x:v>1.0963049894890993</x:v>
      </x:c>
      <x:c r="E55" s="14"/>
      <x:c r="F55" s="14"/>
      <x:c r="G55" s="14"/>
      <x:c r="H55" s="14"/>
      <x:c r="I55" s="2" t="str">
        <x:v>S006</x:v>
      </x:c>
    </x:row>
    <x:row r="56" ht="27" customHeight="1">
      <x:c r="A56" s="2" t="str">
        <x:v>ae_baseline_remaining_seed42</x:v>
      </x:c>
      <x:c r="B56" s="2" t="str">
        <x:v>2004</x:v>
      </x:c>
      <x:c r="C56" s="2" t="n">
        <x:v>15</x:v>
      </x:c>
      <x:c r="D56" s="14" t="n">
        <x:v>1.0932107471820123</x:v>
      </x:c>
      <x:c r="E56" s="14"/>
      <x:c r="F56" s="14"/>
      <x:c r="G56" s="14" t="n">
        <x:v>0.13385758258746921</x:v>
      </x:c>
      <x:c r="H56" s="14"/>
      <x:c r="I56" s="2" t="str">
        <x:v>S006</x:v>
      </x:c>
    </x:row>
    <x:row r="57" ht="27" customHeight="1">
      <x:c r="A57" s="2" t="str">
        <x:v>ae_baseline_remaining_seed42</x:v>
      </x:c>
      <x:c r="B57" s="2" t="str">
        <x:v>2004</x:v>
      </x:c>
      <x:c r="C57" s="2" t="n">
        <x:v>16</x:v>
      </x:c>
      <x:c r="D57" s="14" t="n">
        <x:v>1.070361029185312</x:v>
      </x:c>
      <x:c r="E57" s="14"/>
      <x:c r="F57" s="14"/>
      <x:c r="G57" s="14"/>
      <x:c r="H57" s="14"/>
      <x:c r="I57" s="2" t="str">
        <x:v>S006</x:v>
      </x:c>
    </x:row>
    <x:row r="58" ht="27" customHeight="1">
      <x:c r="A58" s="2" t="str">
        <x:v>ae_baseline_remaining_seed42</x:v>
      </x:c>
      <x:c r="B58" s="2" t="str">
        <x:v>2004</x:v>
      </x:c>
      <x:c r="C58" s="2" t="n">
        <x:v>17</x:v>
      </x:c>
      <x:c r="D58" s="14" t="n">
        <x:v>1.0538309686111067</x:v>
      </x:c>
      <x:c r="E58" s="14"/>
      <x:c r="F58" s="14"/>
      <x:c r="G58" s="14"/>
      <x:c r="H58" s="14"/>
      <x:c r="I58" s="2" t="str">
        <x:v>S006</x:v>
      </x:c>
    </x:row>
    <x:row r="59" ht="27" customHeight="1">
      <x:c r="A59" s="2" t="str">
        <x:v>ae_baseline_remaining_seed42</x:v>
      </x:c>
      <x:c r="B59" s="2" t="str">
        <x:v>2004</x:v>
      </x:c>
      <x:c r="C59" s="2" t="n">
        <x:v>18</x:v>
      </x:c>
      <x:c r="D59" s="14" t="n">
        <x:v>1.0291536951783955</x:v>
      </x:c>
      <x:c r="E59" s="14"/>
      <x:c r="F59" s="14"/>
      <x:c r="G59" s="14"/>
      <x:c r="H59" s="14"/>
      <x:c r="I59" s="2" t="str">
        <x:v>S006</x:v>
      </x:c>
    </x:row>
    <x:row r="60" ht="27" customHeight="1">
      <x:c r="A60" s="2" t="str">
        <x:v>ae_baseline_remaining_seed42</x:v>
      </x:c>
      <x:c r="B60" s="2" t="str">
        <x:v>2004</x:v>
      </x:c>
      <x:c r="C60" s="2" t="n">
        <x:v>19</x:v>
      </x:c>
      <x:c r="D60" s="14" t="n">
        <x:v>1.014731361806847</x:v>
      </x:c>
      <x:c r="E60" s="14"/>
      <x:c r="F60" s="14"/>
      <x:c r="G60" s="14"/>
      <x:c r="H60" s="14"/>
      <x:c r="I60" s="2" t="str">
        <x:v>S006</x:v>
      </x:c>
    </x:row>
    <x:row r="61" ht="27" customHeight="1">
      <x:c r="A61" s="2" t="str">
        <x:v>ae_baseline_remaining_seed42</x:v>
      </x:c>
      <x:c r="B61" s="2" t="str">
        <x:v>2004</x:v>
      </x:c>
      <x:c r="C61" s="2" t="n">
        <x:v>20</x:v>
      </x:c>
      <x:c r="D61" s="14" t="n">
        <x:v>1.0145488816107808</x:v>
      </x:c>
      <x:c r="E61" s="14"/>
      <x:c r="F61" s="14"/>
      <x:c r="G61" s="14" t="n">
        <x:v>0.10101640717130546</x:v>
      </x:c>
      <x:c r="H61" s="14"/>
      <x:c r="I61" s="2" t="str">
        <x:v>S006</x:v>
      </x:c>
    </x:row>
    <x:row r="62" ht="27" customHeight="1">
      <x:c r="A62" s="2" t="str">
        <x:v>ae_baseline_remaining_seed42</x:v>
      </x:c>
      <x:c r="B62" s="2" t="str">
        <x:v>2004</x:v>
      </x:c>
      <x:c r="C62" s="2" t="n">
        <x:v>21</x:v>
      </x:c>
      <x:c r="D62" s="14" t="n">
        <x:v>0.9853889599053015</x:v>
      </x:c>
      <x:c r="E62" s="14"/>
      <x:c r="F62" s="14"/>
      <x:c r="G62" s="14"/>
      <x:c r="H62" s="14"/>
      <x:c r="I62" s="2" t="str">
        <x:v>S006</x:v>
      </x:c>
    </x:row>
    <x:row r="63" ht="27" customHeight="1">
      <x:c r="A63" s="2" t="str">
        <x:v>ae_baseline_remaining_seed42</x:v>
      </x:c>
      <x:c r="B63" s="2" t="str">
        <x:v>2004</x:v>
      </x:c>
      <x:c r="C63" s="2" t="n">
        <x:v>22</x:v>
      </x:c>
      <x:c r="D63" s="14" t="n">
        <x:v>0.9831060247397897</x:v>
      </x:c>
      <x:c r="E63" s="14"/>
      <x:c r="F63" s="14"/>
      <x:c r="G63" s="14"/>
      <x:c r="H63" s="14"/>
      <x:c r="I63" s="2" t="str">
        <x:v>S006</x:v>
      </x:c>
    </x:row>
    <x:row r="64" ht="27" customHeight="1">
      <x:c r="A64" s="2" t="str">
        <x:v>ae_baseline_remaining_seed42</x:v>
      </x:c>
      <x:c r="B64" s="2" t="str">
        <x:v>2004</x:v>
      </x:c>
      <x:c r="C64" s="2" t="n">
        <x:v>23</x:v>
      </x:c>
      <x:c r="D64" s="14" t="n">
        <x:v>0.9723928824915017</x:v>
      </x:c>
      <x:c r="E64" s="14"/>
      <x:c r="F64" s="14"/>
      <x:c r="G64" s="14"/>
      <x:c r="H64" s="14"/>
      <x:c r="I64" s="2" t="str">
        <x:v>S006</x:v>
      </x:c>
    </x:row>
    <x:row r="65" ht="27" customHeight="1">
      <x:c r="A65" s="2" t="str">
        <x:v>ae_baseline_remaining_seed42</x:v>
      </x:c>
      <x:c r="B65" s="2" t="str">
        <x:v>2004</x:v>
      </x:c>
      <x:c r="C65" s="2" t="n">
        <x:v>24</x:v>
      </x:c>
      <x:c r="D65" s="14" t="n">
        <x:v>0.9540854310619387</x:v>
      </x:c>
      <x:c r="E65" s="14"/>
      <x:c r="F65" s="14"/>
      <x:c r="G65" s="14"/>
      <x:c r="H65" s="14"/>
      <x:c r="I65" s="2" t="str">
        <x:v>S006</x:v>
      </x:c>
    </x:row>
    <x:row r="66" ht="27" customHeight="1">
      <x:c r="A66" s="2" t="str">
        <x:v>ae_baseline_remaining_seed42</x:v>
      </x:c>
      <x:c r="B66" s="2" t="str">
        <x:v>2004</x:v>
      </x:c>
      <x:c r="C66" s="2" t="n">
        <x:v>25</x:v>
      </x:c>
      <x:c r="D66" s="14" t="n">
        <x:v>0.9427286835857448</x:v>
      </x:c>
      <x:c r="E66" s="14"/>
      <x:c r="F66" s="14"/>
      <x:c r="G66" s="14" t="n">
        <x:v>0.3837175932191352</x:v>
      </x:c>
      <x:c r="H66" s="14"/>
      <x:c r="I66" s="2" t="str">
        <x:v>S006</x:v>
      </x:c>
    </x:row>
    <x:row r="67" ht="27" customHeight="1">
      <x:c r="A67" s="2" t="str">
        <x:v>ae_baseline_remaining_seed42</x:v>
      </x:c>
      <x:c r="B67" s="2" t="str">
        <x:v>2004</x:v>
      </x:c>
      <x:c r="C67" s="2" t="n">
        <x:v>26</x:v>
      </x:c>
      <x:c r="D67" s="14" t="n">
        <x:v>0.9383447073823972</x:v>
      </x:c>
      <x:c r="E67" s="14"/>
      <x:c r="F67" s="14"/>
      <x:c r="G67" s="14"/>
      <x:c r="H67" s="14"/>
      <x:c r="I67" s="2" t="str">
        <x:v>S006</x:v>
      </x:c>
    </x:row>
    <x:row r="68" ht="27" customHeight="1">
      <x:c r="A68" s="2" t="str">
        <x:v>ae_baseline_remaining_seed42</x:v>
      </x:c>
      <x:c r="B68" s="2" t="str">
        <x:v>2004</x:v>
      </x:c>
      <x:c r="C68" s="2" t="n">
        <x:v>27</x:v>
      </x:c>
      <x:c r="D68" s="14" t="n">
        <x:v>0.9270465329792498</x:v>
      </x:c>
      <x:c r="E68" s="14"/>
      <x:c r="F68" s="14"/>
      <x:c r="G68" s="14"/>
      <x:c r="H68" s="14"/>
      <x:c r="I68" s="2" t="str">
        <x:v>S006</x:v>
      </x:c>
    </x:row>
    <x:row r="69" ht="27" customHeight="1">
      <x:c r="A69" s="2" t="str">
        <x:v>ae_baseline_remaining_seed42</x:v>
      </x:c>
      <x:c r="B69" s="2" t="str">
        <x:v>2004</x:v>
      </x:c>
      <x:c r="C69" s="2" t="n">
        <x:v>28</x:v>
      </x:c>
      <x:c r="D69" s="14" t="n">
        <x:v>0.925699860238912</x:v>
      </x:c>
      <x:c r="E69" s="14"/>
      <x:c r="F69" s="14"/>
      <x:c r="G69" s="14"/>
      <x:c r="H69" s="14"/>
      <x:c r="I69" s="2" t="str">
        <x:v>S006</x:v>
      </x:c>
    </x:row>
    <x:row r="70" ht="27" customHeight="1">
      <x:c r="A70" s="2" t="str">
        <x:v>ae_baseline_remaining_seed42</x:v>
      </x:c>
      <x:c r="B70" s="2" t="str">
        <x:v>2004</x:v>
      </x:c>
      <x:c r="C70" s="2" t="n">
        <x:v>29</x:v>
      </x:c>
      <x:c r="D70" s="14" t="n">
        <x:v>0.9102482387444611</x:v>
      </x:c>
      <x:c r="E70" s="14"/>
      <x:c r="F70" s="14"/>
      <x:c r="G70" s="14"/>
      <x:c r="H70" s="14"/>
      <x:c r="I70" s="2" t="str">
        <x:v>S006</x:v>
      </x:c>
    </x:row>
    <x:row r="71" ht="27" customHeight="1">
      <x:c r="A71" s="2" t="str">
        <x:v>ae_baseline_remaining_seed42</x:v>
      </x:c>
      <x:c r="B71" s="2" t="str">
        <x:v>2004</x:v>
      </x:c>
      <x:c r="C71" s="2" t="n">
        <x:v>30</x:v>
      </x:c>
      <x:c r="D71" s="14" t="n">
        <x:v>0.9224449524525609</x:v>
      </x:c>
      <x:c r="E71" s="14"/>
      <x:c r="F71" s="14"/>
      <x:c r="G71" s="14" t="n">
        <x:v>0.17161620419178172</x:v>
      </x:c>
      <x:c r="H71" s="14"/>
      <x:c r="I71" s="2" t="str">
        <x:v>S006</x:v>
      </x:c>
    </x:row>
    <x:row r="72" ht="27" customHeight="1">
      <x:c r="A72" s="2" t="str">
        <x:v>ae_baseline_remaining_seed42</x:v>
      </x:c>
      <x:c r="B72" s="2" t="str">
        <x:v>2004</x:v>
      </x:c>
      <x:c r="C72" s="2" t="n">
        <x:v>31</x:v>
      </x:c>
      <x:c r="D72" s="14" t="n">
        <x:v>0.9118764764968313</x:v>
      </x:c>
      <x:c r="E72" s="14"/>
      <x:c r="F72" s="14"/>
      <x:c r="G72" s="14"/>
      <x:c r="H72" s="14"/>
      <x:c r="I72" s="2" t="str">
        <x:v>S006</x:v>
      </x:c>
    </x:row>
    <x:row r="73" ht="27" customHeight="1">
      <x:c r="A73" s="2" t="str">
        <x:v>ae_baseline_remaining_seed42</x:v>
      </x:c>
      <x:c r="B73" s="2" t="str">
        <x:v>2004</x:v>
      </x:c>
      <x:c r="C73" s="2" t="n">
        <x:v>32</x:v>
      </x:c>
      <x:c r="D73" s="14" t="n">
        <x:v>0.8936029703435182</x:v>
      </x:c>
      <x:c r="E73" s="14"/>
      <x:c r="F73" s="14"/>
      <x:c r="G73" s="14"/>
      <x:c r="H73" s="14"/>
      <x:c r="I73" s="2" t="str">
        <x:v>S006</x:v>
      </x:c>
    </x:row>
    <x:row r="74" ht="27" customHeight="1">
      <x:c r="A74" s="2" t="str">
        <x:v>ae_baseline_remaining_seed42</x:v>
      </x:c>
      <x:c r="B74" s="2" t="str">
        <x:v>2004</x:v>
      </x:c>
      <x:c r="C74" s="2" t="n">
        <x:v>33</x:v>
      </x:c>
      <x:c r="D74" s="14" t="n">
        <x:v>0.9033116482760125</x:v>
      </x:c>
      <x:c r="E74" s="14"/>
      <x:c r="F74" s="14"/>
      <x:c r="G74" s="14"/>
      <x:c r="H74" s="14"/>
      <x:c r="I74" s="2" t="str">
        <x:v>S006</x:v>
      </x:c>
    </x:row>
    <x:row r="75" ht="27" customHeight="1">
      <x:c r="A75" s="2" t="str">
        <x:v>ae_baseline_remaining_seed42</x:v>
      </x:c>
      <x:c r="B75" s="2" t="str">
        <x:v>2004</x:v>
      </x:c>
      <x:c r="C75" s="2" t="n">
        <x:v>34</x:v>
      </x:c>
      <x:c r="D75" s="14" t="n">
        <x:v>0.8906096566337641</x:v>
      </x:c>
      <x:c r="E75" s="14"/>
      <x:c r="F75" s="14"/>
      <x:c r="G75" s="14"/>
      <x:c r="H75" s="14"/>
      <x:c r="I75" s="2" t="str">
        <x:v>S006</x:v>
      </x:c>
    </x:row>
    <x:row r="76" ht="27" customHeight="1">
      <x:c r="A76" s="2" t="str">
        <x:v>ae_baseline_remaining_seed42</x:v>
      </x:c>
      <x:c r="B76" s="2" t="str">
        <x:v>2004</x:v>
      </x:c>
      <x:c r="C76" s="2" t="n">
        <x:v>35</x:v>
      </x:c>
      <x:c r="D76" s="14" t="n">
        <x:v>0.8858374602780286</x:v>
      </x:c>
      <x:c r="E76" s="14"/>
      <x:c r="F76" s="14"/>
      <x:c r="G76" s="14" t="n">
        <x:v>0.38390663095893557</x:v>
      </x:c>
      <x:c r="H76" s="14"/>
      <x:c r="I76" s="2" t="str">
        <x:v>S006</x:v>
      </x:c>
    </x:row>
    <x:row r="77" ht="27" customHeight="1">
      <x:c r="A77" s="2" t="str">
        <x:v>ae_baseline_remaining_seed42</x:v>
      </x:c>
      <x:c r="B77" s="2" t="str">
        <x:v>2004</x:v>
      </x:c>
      <x:c r="C77" s="2" t="n">
        <x:v>36</x:v>
      </x:c>
      <x:c r="D77" s="14" t="n">
        <x:v>0.8762993716715696</x:v>
      </x:c>
      <x:c r="E77" s="14"/>
      <x:c r="F77" s="14"/>
      <x:c r="G77" s="14"/>
      <x:c r="H77" s="14"/>
      <x:c r="I77" s="2" t="str">
        <x:v>S006</x:v>
      </x:c>
    </x:row>
    <x:row r="78" ht="27" customHeight="1">
      <x:c r="A78" s="2" t="str">
        <x:v>ae_baseline_remaining_seed42</x:v>
      </x:c>
      <x:c r="B78" s="2" t="str">
        <x:v>2004</x:v>
      </x:c>
      <x:c r="C78" s="2" t="n">
        <x:v>37</x:v>
      </x:c>
      <x:c r="D78" s="14" t="n">
        <x:v>0.8805616199929676</x:v>
      </x:c>
      <x:c r="E78" s="14"/>
      <x:c r="F78" s="14"/>
      <x:c r="G78" s="14"/>
      <x:c r="H78" s="14"/>
      <x:c r="I78" s="2" t="str">
        <x:v>S006</x:v>
      </x:c>
    </x:row>
    <x:row r="79" ht="27" customHeight="1">
      <x:c r="A79" s="2" t="str">
        <x:v>ae_baseline_remaining_seed42</x:v>
      </x:c>
      <x:c r="B79" s="2" t="str">
        <x:v>2004</x:v>
      </x:c>
      <x:c r="C79" s="2" t="n">
        <x:v>38</x:v>
      </x:c>
      <x:c r="D79" s="14" t="n">
        <x:v>0.8783006458103316</x:v>
      </x:c>
      <x:c r="E79" s="14"/>
      <x:c r="F79" s="14"/>
      <x:c r="G79" s="14"/>
      <x:c r="H79" s="14"/>
      <x:c r="I79" s="2" t="str">
        <x:v>S006</x:v>
      </x:c>
    </x:row>
    <x:row r="80" ht="27" customHeight="1">
      <x:c r="A80" s="2" t="str">
        <x:v>ae_baseline_remaining_seed42</x:v>
      </x:c>
      <x:c r="B80" s="2" t="str">
        <x:v>2004</x:v>
      </x:c>
      <x:c r="C80" s="2" t="n">
        <x:v>39</x:v>
      </x:c>
      <x:c r="D80" s="14" t="n">
        <x:v>0.8736305584841485</x:v>
      </x:c>
      <x:c r="E80" s="14"/>
      <x:c r="F80" s="14"/>
      <x:c r="G80" s="14"/>
      <x:c r="H80" s="14"/>
      <x:c r="I80" s="2" t="str">
        <x:v>S006</x:v>
      </x:c>
    </x:row>
    <x:row r="81" ht="27" customHeight="1">
      <x:c r="A81" s="2" t="str">
        <x:v>ae_baseline_remaining_seed42</x:v>
      </x:c>
      <x:c r="B81" s="2" t="str">
        <x:v>2004</x:v>
      </x:c>
      <x:c r="C81" s="2" t="n">
        <x:v>40</x:v>
      </x:c>
      <x:c r="D81" s="14" t="n">
        <x:v>0.8798343928735181</x:v>
      </x:c>
      <x:c r="E81" s="14"/>
      <x:c r="F81" s="14"/>
      <x:c r="G81" s="14" t="n">
        <x:v>0.23755204245662379</x:v>
      </x:c>
      <x:c r="H81" s="14"/>
      <x:c r="I81" s="2" t="str">
        <x:v>S006</x:v>
      </x:c>
    </x:row>
    <x:row r="82" ht="27" customHeight="1">
      <x:c r="A82" s="2" t="str">
        <x:v>ae_baseline_remaining_seed42</x:v>
      </x:c>
      <x:c r="B82" s="2" t="str">
        <x:v>2005</x:v>
      </x:c>
      <x:c r="C82" s="2" t="n">
        <x:v>1</x:v>
      </x:c>
      <x:c r="D82" s="14" t="n">
        <x:v>3.682783007743812</x:v>
      </x:c>
      <x:c r="E82" s="14"/>
      <x:c r="F82" s="14"/>
      <x:c r="G82" s="14"/>
      <x:c r="H82" s="14"/>
      <x:c r="I82" s="2" t="str">
        <x:v>S007</x:v>
      </x:c>
    </x:row>
    <x:row r="83" ht="27" customHeight="1">
      <x:c r="A83" s="2" t="str">
        <x:v>ae_baseline_remaining_seed42</x:v>
      </x:c>
      <x:c r="B83" s="2" t="str">
        <x:v>2005</x:v>
      </x:c>
      <x:c r="C83" s="2" t="n">
        <x:v>2</x:v>
      </x:c>
      <x:c r="D83" s="14" t="n">
        <x:v>1.92734868188694</x:v>
      </x:c>
      <x:c r="E83" s="14"/>
      <x:c r="F83" s="14"/>
      <x:c r="G83" s="14"/>
      <x:c r="H83" s="14"/>
      <x:c r="I83" s="2" t="str">
        <x:v>S007</x:v>
      </x:c>
    </x:row>
    <x:row r="84" ht="27" customHeight="1">
      <x:c r="A84" s="2" t="str">
        <x:v>ae_baseline_remaining_seed42</x:v>
      </x:c>
      <x:c r="B84" s="2" t="str">
        <x:v>2005</x:v>
      </x:c>
      <x:c r="C84" s="2" t="n">
        <x:v>3</x:v>
      </x:c>
      <x:c r="D84" s="14" t="n">
        <x:v>1.6027735150513334</x:v>
      </x:c>
      <x:c r="E84" s="14"/>
      <x:c r="F84" s="14"/>
      <x:c r="G84" s="14"/>
      <x:c r="H84" s="14"/>
      <x:c r="I84" s="2" t="str">
        <x:v>S007</x:v>
      </x:c>
    </x:row>
    <x:row r="85" ht="27" customHeight="1">
      <x:c r="A85" s="2" t="str">
        <x:v>ae_baseline_remaining_seed42</x:v>
      </x:c>
      <x:c r="B85" s="2" t="str">
        <x:v>2005</x:v>
      </x:c>
      <x:c r="C85" s="2" t="n">
        <x:v>4</x:v>
      </x:c>
      <x:c r="D85" s="14" t="n">
        <x:v>1.4951820957605755</x:v>
      </x:c>
      <x:c r="E85" s="14"/>
      <x:c r="F85" s="14"/>
      <x:c r="G85" s="14"/>
      <x:c r="H85" s="14"/>
      <x:c r="I85" s="2" t="str">
        <x:v>S007</x:v>
      </x:c>
    </x:row>
    <x:row r="86" ht="27" customHeight="1">
      <x:c r="A86" s="2" t="str">
        <x:v>ae_baseline_remaining_seed42</x:v>
      </x:c>
      <x:c r="B86" s="2" t="str">
        <x:v>2005</x:v>
      </x:c>
      <x:c r="C86" s="2" t="n">
        <x:v>5</x:v>
      </x:c>
      <x:c r="D86" s="14" t="n">
        <x:v>1.408928646901272</x:v>
      </x:c>
      <x:c r="E86" s="14"/>
      <x:c r="F86" s="14"/>
      <x:c r="G86" s="14" t="n">
        <x:v>0.8328804736937059</x:v>
      </x:c>
      <x:c r="H86" s="14"/>
      <x:c r="I86" s="2" t="str">
        <x:v>S007</x:v>
      </x:c>
    </x:row>
    <x:row r="87" ht="27" customHeight="1">
      <x:c r="A87" s="2" t="str">
        <x:v>ae_baseline_remaining_seed42</x:v>
      </x:c>
      <x:c r="B87" s="2" t="str">
        <x:v>2005</x:v>
      </x:c>
      <x:c r="C87" s="2" t="n">
        <x:v>6</x:v>
      </x:c>
      <x:c r="D87" s="14" t="n">
        <x:v>1.3240834390808927</x:v>
      </x:c>
      <x:c r="E87" s="14"/>
      <x:c r="F87" s="14"/>
      <x:c r="G87" s="14"/>
      <x:c r="H87" s="14"/>
      <x:c r="I87" s="2" t="str">
        <x:v>S007</x:v>
      </x:c>
    </x:row>
    <x:row r="88" ht="27" customHeight="1">
      <x:c r="A88" s="2" t="str">
        <x:v>ae_baseline_remaining_seed42</x:v>
      </x:c>
      <x:c r="B88" s="2" t="str">
        <x:v>2005</x:v>
      </x:c>
      <x:c r="C88" s="2" t="n">
        <x:v>7</x:v>
      </x:c>
      <x:c r="D88" s="14" t="n">
        <x:v>1.2771049693421326</x:v>
      </x:c>
      <x:c r="E88" s="14"/>
      <x:c r="F88" s="14"/>
      <x:c r="G88" s="14"/>
      <x:c r="H88" s="14"/>
      <x:c r="I88" s="2" t="str">
        <x:v>S007</x:v>
      </x:c>
    </x:row>
    <x:row r="89" ht="27" customHeight="1">
      <x:c r="A89" s="2" t="str">
        <x:v>ae_baseline_remaining_seed42</x:v>
      </x:c>
      <x:c r="B89" s="2" t="str">
        <x:v>2005</x:v>
      </x:c>
      <x:c r="C89" s="2" t="n">
        <x:v>8</x:v>
      </x:c>
      <x:c r="D89" s="14" t="n">
        <x:v>1.2176672831131945</x:v>
      </x:c>
      <x:c r="E89" s="14"/>
      <x:c r="F89" s="14"/>
      <x:c r="G89" s="14"/>
      <x:c r="H89" s="14"/>
      <x:c r="I89" s="2" t="str">
        <x:v>S007</x:v>
      </x:c>
    </x:row>
    <x:row r="90" ht="27" customHeight="1">
      <x:c r="A90" s="2" t="str">
        <x:v>ae_baseline_remaining_seed42</x:v>
      </x:c>
      <x:c r="B90" s="2" t="str">
        <x:v>2005</x:v>
      </x:c>
      <x:c r="C90" s="2" t="n">
        <x:v>9</x:v>
      </x:c>
      <x:c r="D90" s="14" t="n">
        <x:v>1.1910377746657212</x:v>
      </x:c>
      <x:c r="E90" s="14"/>
      <x:c r="F90" s="14"/>
      <x:c r="G90" s="14"/>
      <x:c r="H90" s="14"/>
      <x:c r="I90" s="2" t="str">
        <x:v>S007</x:v>
      </x:c>
    </x:row>
    <x:row r="91" ht="27" customHeight="1">
      <x:c r="A91" s="2" t="str">
        <x:v>ae_baseline_remaining_seed42</x:v>
      </x:c>
      <x:c r="B91" s="2" t="str">
        <x:v>2005</x:v>
      </x:c>
      <x:c r="C91" s="2" t="n">
        <x:v>10</x:v>
      </x:c>
      <x:c r="D91" s="14" t="n">
        <x:v>1.1508879004318542</x:v>
      </x:c>
      <x:c r="E91" s="14"/>
      <x:c r="F91" s="14"/>
      <x:c r="G91" s="14" t="n">
        <x:v>0.8328804736937059</x:v>
      </x:c>
      <x:c r="H91" s="14"/>
      <x:c r="I91" s="2" t="str">
        <x:v>S007</x:v>
      </x:c>
    </x:row>
    <x:row r="92" ht="27" customHeight="1">
      <x:c r="A92" s="2" t="str">
        <x:v>ae_baseline_remaining_seed42</x:v>
      </x:c>
      <x:c r="B92" s="2" t="str">
        <x:v>2005</x:v>
      </x:c>
      <x:c r="C92" s="2" t="n">
        <x:v>11</x:v>
      </x:c>
      <x:c r="D92" s="14" t="n">
        <x:v>1.1248461626105855</x:v>
      </x:c>
      <x:c r="E92" s="14"/>
      <x:c r="F92" s="14"/>
      <x:c r="G92" s="14"/>
      <x:c r="H92" s="14"/>
      <x:c r="I92" s="2" t="str">
        <x:v>S007</x:v>
      </x:c>
    </x:row>
    <x:row r="93" ht="27" customHeight="1">
      <x:c r="A93" s="2" t="str">
        <x:v>ae_baseline_remaining_seed42</x:v>
      </x:c>
      <x:c r="B93" s="2" t="str">
        <x:v>2005</x:v>
      </x:c>
      <x:c r="C93" s="2" t="n">
        <x:v>12</x:v>
      </x:c>
      <x:c r="D93" s="14" t="n">
        <x:v>1.0917456767383305</x:v>
      </x:c>
      <x:c r="E93" s="14"/>
      <x:c r="F93" s="14"/>
      <x:c r="G93" s="14"/>
      <x:c r="H93" s="14"/>
      <x:c r="I93" s="2" t="str">
        <x:v>S007</x:v>
      </x:c>
    </x:row>
    <x:row r="94" ht="27" customHeight="1">
      <x:c r="A94" s="2" t="str">
        <x:v>ae_baseline_remaining_seed42</x:v>
      </x:c>
      <x:c r="B94" s="2" t="str">
        <x:v>2005</x:v>
      </x:c>
      <x:c r="C94" s="2" t="n">
        <x:v>13</x:v>
      </x:c>
      <x:c r="D94" s="14" t="n">
        <x:v>1.084772859643053</x:v>
      </x:c>
      <x:c r="E94" s="14"/>
      <x:c r="F94" s="14"/>
      <x:c r="G94" s="14"/>
      <x:c r="H94" s="14"/>
      <x:c r="I94" s="2" t="str">
        <x:v>S007</x:v>
      </x:c>
    </x:row>
    <x:row r="95" ht="27" customHeight="1">
      <x:c r="A95" s="2" t="str">
        <x:v>ae_baseline_remaining_seed42</x:v>
      </x:c>
      <x:c r="B95" s="2" t="str">
        <x:v>2005</x:v>
      </x:c>
      <x:c r="C95" s="2" t="n">
        <x:v>14</x:v>
      </x:c>
      <x:c r="D95" s="14" t="n">
        <x:v>1.0484899586199616</x:v>
      </x:c>
      <x:c r="E95" s="14"/>
      <x:c r="F95" s="14"/>
      <x:c r="G95" s="14"/>
      <x:c r="H95" s="14"/>
      <x:c r="I95" s="2" t="str">
        <x:v>S007</x:v>
      </x:c>
    </x:row>
    <x:row r="96" ht="27" customHeight="1">
      <x:c r="A96" s="2" t="str">
        <x:v>ae_baseline_remaining_seed42</x:v>
      </x:c>
      <x:c r="B96" s="2" t="str">
        <x:v>2005</x:v>
      </x:c>
      <x:c r="C96" s="2" t="n">
        <x:v>15</x:v>
      </x:c>
      <x:c r="D96" s="14" t="n">
        <x:v>1.0385550903749947</x:v>
      </x:c>
      <x:c r="E96" s="14"/>
      <x:c r="F96" s="14"/>
      <x:c r="G96" s="14" t="n">
        <x:v>0.8328063065294764</x:v>
      </x:c>
      <x:c r="H96" s="14"/>
      <x:c r="I96" s="2" t="str">
        <x:v>S007</x:v>
      </x:c>
    </x:row>
    <x:row r="97" ht="27" customHeight="1">
      <x:c r="A97" s="2" t="str">
        <x:v>ae_baseline_remaining_seed42</x:v>
      </x:c>
      <x:c r="B97" s="2" t="str">
        <x:v>2005</x:v>
      </x:c>
      <x:c r="C97" s="2" t="n">
        <x:v>16</x:v>
      </x:c>
      <x:c r="D97" s="14" t="n">
        <x:v>1.023989042215238</x:v>
      </x:c>
      <x:c r="E97" s="14"/>
      <x:c r="F97" s="14"/>
      <x:c r="G97" s="14"/>
      <x:c r="H97" s="14"/>
      <x:c r="I97" s="2" t="str">
        <x:v>S007</x:v>
      </x:c>
    </x:row>
    <x:row r="98" ht="27" customHeight="1">
      <x:c r="A98" s="2" t="str">
        <x:v>ae_baseline_remaining_seed42</x:v>
      </x:c>
      <x:c r="B98" s="2" t="str">
        <x:v>2005</x:v>
      </x:c>
      <x:c r="C98" s="2" t="n">
        <x:v>17</x:v>
      </x:c>
      <x:c r="D98" s="14" t="n">
        <x:v>1.003170184482157</x:v>
      </x:c>
      <x:c r="E98" s="14"/>
      <x:c r="F98" s="14"/>
      <x:c r="G98" s="14"/>
      <x:c r="H98" s="14"/>
      <x:c r="I98" s="2" t="str">
        <x:v>S007</x:v>
      </x:c>
    </x:row>
    <x:row r="99" ht="27" customHeight="1">
      <x:c r="A99" s="2" t="str">
        <x:v>ae_baseline_remaining_seed42</x:v>
      </x:c>
      <x:c r="B99" s="2" t="str">
        <x:v>2005</x:v>
      </x:c>
      <x:c r="C99" s="2" t="n">
        <x:v>18</x:v>
      </x:c>
      <x:c r="D99" s="14" t="n">
        <x:v>0.9892274360385794</x:v>
      </x:c>
      <x:c r="E99" s="14"/>
      <x:c r="F99" s="14"/>
      <x:c r="G99" s="14"/>
      <x:c r="H99" s="14"/>
      <x:c r="I99" s="2" t="str">
        <x:v>S007</x:v>
      </x:c>
    </x:row>
    <x:row r="100" ht="27" customHeight="1">
      <x:c r="A100" s="2" t="str">
        <x:v>ae_baseline_remaining_seed42</x:v>
      </x:c>
      <x:c r="B100" s="2" t="str">
        <x:v>2005</x:v>
      </x:c>
      <x:c r="C100" s="2" t="n">
        <x:v>19</x:v>
      </x:c>
      <x:c r="D100" s="14" t="n">
        <x:v>0.9797031840827723</x:v>
      </x:c>
      <x:c r="E100" s="14"/>
      <x:c r="F100" s="14"/>
      <x:c r="G100" s="14"/>
      <x:c r="H100" s="14"/>
      <x:c r="I100" s="2" t="str">
        <x:v>S007</x:v>
      </x:c>
    </x:row>
    <x:row r="101" ht="27" customHeight="1">
      <x:c r="A101" s="2" t="str">
        <x:v>ae_baseline_remaining_seed42</x:v>
      </x:c>
      <x:c r="B101" s="2" t="str">
        <x:v>2005</x:v>
      </x:c>
      <x:c r="C101" s="2" t="n">
        <x:v>20</x:v>
      </x:c>
      <x:c r="D101" s="14" t="n">
        <x:v>0.9655272591509171</x:v>
      </x:c>
      <x:c r="E101" s="14"/>
      <x:c r="F101" s="14"/>
      <x:c r="G101" s="14" t="n">
        <x:v>0.8328804736937059</x:v>
      </x:c>
      <x:c r="H101" s="14"/>
      <x:c r="I101" s="2" t="str">
        <x:v>S007</x:v>
      </x:c>
    </x:row>
    <x:row r="102" ht="27" customHeight="1">
      <x:c r="A102" s="2" t="str">
        <x:v>ae_baseline_remaining_seed42</x:v>
      </x:c>
      <x:c r="B102" s="2" t="str">
        <x:v>2005</x:v>
      </x:c>
      <x:c r="C102" s="2" t="n">
        <x:v>21</x:v>
      </x:c>
      <x:c r="D102" s="14" t="n">
        <x:v>0.9533906491925749</x:v>
      </x:c>
      <x:c r="E102" s="14"/>
      <x:c r="F102" s="14"/>
      <x:c r="G102" s="14"/>
      <x:c r="H102" s="14"/>
      <x:c r="I102" s="2" t="str">
        <x:v>S007</x:v>
      </x:c>
    </x:row>
    <x:row r="103" ht="27" customHeight="1">
      <x:c r="A103" s="2" t="str">
        <x:v>ae_baseline_remaining_seed42</x:v>
      </x:c>
      <x:c r="B103" s="2" t="str">
        <x:v>2005</x:v>
      </x:c>
      <x:c r="C103" s="2" t="n">
        <x:v>22</x:v>
      </x:c>
      <x:c r="D103" s="14" t="n">
        <x:v>0.9500029058633541</x:v>
      </x:c>
      <x:c r="E103" s="14"/>
      <x:c r="F103" s="14"/>
      <x:c r="G103" s="14"/>
      <x:c r="H103" s="14"/>
      <x:c r="I103" s="2" t="str">
        <x:v>S007</x:v>
      </x:c>
    </x:row>
    <x:row r="104" ht="27" customHeight="1">
      <x:c r="A104" s="2" t="str">
        <x:v>ae_baseline_remaining_seed42</x:v>
      </x:c>
      <x:c r="B104" s="2" t="str">
        <x:v>2005</x:v>
      </x:c>
      <x:c r="C104" s="2" t="n">
        <x:v>23</x:v>
      </x:c>
      <x:c r="D104" s="14" t="n">
        <x:v>0.9154683570781571</x:v>
      </x:c>
      <x:c r="E104" s="14"/>
      <x:c r="F104" s="14"/>
      <x:c r="G104" s="14"/>
      <x:c r="H104" s="14"/>
      <x:c r="I104" s="2" t="str">
        <x:v>S007</x:v>
      </x:c>
    </x:row>
    <x:row r="105" ht="27" customHeight="1">
      <x:c r="A105" s="2" t="str">
        <x:v>ae_baseline_remaining_seed42</x:v>
      </x:c>
      <x:c r="B105" s="2" t="str">
        <x:v>2005</x:v>
      </x:c>
      <x:c r="C105" s="2" t="n">
        <x:v>24</x:v>
      </x:c>
      <x:c r="D105" s="14" t="n">
        <x:v>0.9086182896531251</x:v>
      </x:c>
      <x:c r="E105" s="14"/>
      <x:c r="F105" s="14"/>
      <x:c r="G105" s="14"/>
      <x:c r="H105" s="14"/>
      <x:c r="I105" s="2" t="str">
        <x:v>S007</x:v>
      </x:c>
    </x:row>
    <x:row r="106" ht="27" customHeight="1">
      <x:c r="A106" s="2" t="str">
        <x:v>ae_baseline_remaining_seed42</x:v>
      </x:c>
      <x:c r="B106" s="2" t="str">
        <x:v>2005</x:v>
      </x:c>
      <x:c r="C106" s="2" t="n">
        <x:v>25</x:v>
      </x:c>
      <x:c r="D106" s="14" t="n">
        <x:v>0.9081515874994939</x:v>
      </x:c>
      <x:c r="E106" s="14"/>
      <x:c r="F106" s="14"/>
      <x:c r="G106" s="14" t="n">
        <x:v>0.8328063065294764</x:v>
      </x:c>
      <x:c r="H106" s="14"/>
      <x:c r="I106" s="2" t="str">
        <x:v>S007</x:v>
      </x:c>
    </x:row>
    <x:row r="107" ht="27" customHeight="1">
      <x:c r="A107" s="2" t="str">
        <x:v>ae_baseline_remaining_seed42</x:v>
      </x:c>
      <x:c r="B107" s="2" t="str">
        <x:v>2005</x:v>
      </x:c>
      <x:c r="C107" s="2" t="n">
        <x:v>26</x:v>
      </x:c>
      <x:c r="D107" s="14" t="n">
        <x:v>0.9116531820142547</x:v>
      </x:c>
      <x:c r="E107" s="14"/>
      <x:c r="F107" s="14"/>
      <x:c r="G107" s="14"/>
      <x:c r="H107" s="14"/>
      <x:c r="I107" s="2" t="str">
        <x:v>S007</x:v>
      </x:c>
    </x:row>
    <x:row r="108" ht="27" customHeight="1">
      <x:c r="A108" s="2" t="str">
        <x:v>ae_baseline_remaining_seed42</x:v>
      </x:c>
      <x:c r="B108" s="2" t="str">
        <x:v>2005</x:v>
      </x:c>
      <x:c r="C108" s="2" t="n">
        <x:v>27</x:v>
      </x:c>
      <x:c r="D108" s="14" t="n">
        <x:v>0.8904456332829379</x:v>
      </x:c>
      <x:c r="E108" s="14"/>
      <x:c r="F108" s="14"/>
      <x:c r="G108" s="14"/>
      <x:c r="H108" s="14"/>
      <x:c r="I108" s="2" t="str">
        <x:v>S007</x:v>
      </x:c>
    </x:row>
    <x:row r="109" ht="27" customHeight="1">
      <x:c r="A109" s="2" t="str">
        <x:v>ae_baseline_remaining_seed42</x:v>
      </x:c>
      <x:c r="B109" s="2" t="str">
        <x:v>2005</x:v>
      </x:c>
      <x:c r="C109" s="2" t="n">
        <x:v>28</x:v>
      </x:c>
      <x:c r="D109" s="14" t="n">
        <x:v>0.8770435508803041</x:v>
      </x:c>
      <x:c r="E109" s="14"/>
      <x:c r="F109" s="14"/>
      <x:c r="G109" s="14"/>
      <x:c r="H109" s="14"/>
      <x:c r="I109" s="2" t="str">
        <x:v>S007</x:v>
      </x:c>
    </x:row>
    <x:row r="110" ht="27" customHeight="1">
      <x:c r="A110" s="2" t="str">
        <x:v>ae_baseline_remaining_seed42</x:v>
      </x:c>
      <x:c r="B110" s="2" t="str">
        <x:v>2005</x:v>
      </x:c>
      <x:c r="C110" s="2" t="n">
        <x:v>29</x:v>
      </x:c>
      <x:c r="D110" s="14" t="n">
        <x:v>0.8803716150980365</x:v>
      </x:c>
      <x:c r="E110" s="14"/>
      <x:c r="F110" s="14"/>
      <x:c r="G110" s="14"/>
      <x:c r="H110" s="14"/>
      <x:c r="I110" s="2" t="str">
        <x:v>S007</x:v>
      </x:c>
    </x:row>
    <x:row r="111" ht="27" customHeight="1">
      <x:c r="A111" s="2" t="str">
        <x:v>ae_baseline_remaining_seed42</x:v>
      </x:c>
      <x:c r="B111" s="2" t="str">
        <x:v>2005</x:v>
      </x:c>
      <x:c r="C111" s="2" t="n">
        <x:v>30</x:v>
      </x:c>
      <x:c r="D111" s="14" t="n">
        <x:v>0.8680819263011942</x:v>
      </x:c>
      <x:c r="E111" s="14"/>
      <x:c r="F111" s="14"/>
      <x:c r="G111" s="14" t="n">
        <x:v>0.8328063065294764</x:v>
      </x:c>
      <x:c r="H111" s="14"/>
      <x:c r="I111" s="2" t="str">
        <x:v>S007</x:v>
      </x:c>
    </x:row>
    <x:row r="112" ht="27" customHeight="1">
      <x:c r="A112" s="2" t="str">
        <x:v>ae_baseline_remaining_seed42</x:v>
      </x:c>
      <x:c r="B112" s="2" t="str">
        <x:v>2005</x:v>
      </x:c>
      <x:c r="C112" s="2" t="n">
        <x:v>31</x:v>
      </x:c>
      <x:c r="D112" s="14" t="n">
        <x:v>0.8602144141269823</x:v>
      </x:c>
      <x:c r="E112" s="14"/>
      <x:c r="F112" s="14"/>
      <x:c r="G112" s="14"/>
      <x:c r="H112" s="14"/>
      <x:c r="I112" s="2" t="str">
        <x:v>S007</x:v>
      </x:c>
    </x:row>
    <x:row r="113" ht="27" customHeight="1">
      <x:c r="A113" s="2" t="str">
        <x:v>ae_baseline_remaining_seed42</x:v>
      </x:c>
      <x:c r="B113" s="2" t="str">
        <x:v>2005</x:v>
      </x:c>
      <x:c r="C113" s="2" t="n">
        <x:v>32</x:v>
      </x:c>
      <x:c r="D113" s="14" t="n">
        <x:v>0.8675355334268725</x:v>
      </x:c>
      <x:c r="E113" s="14"/>
      <x:c r="F113" s="14"/>
      <x:c r="G113" s="14"/>
      <x:c r="H113" s="14"/>
      <x:c r="I113" s="2" t="str">
        <x:v>S007</x:v>
      </x:c>
    </x:row>
    <x:row r="114" ht="27" customHeight="1">
      <x:c r="A114" s="2" t="str">
        <x:v>ae_baseline_remaining_seed42</x:v>
      </x:c>
      <x:c r="B114" s="2" t="str">
        <x:v>2005</x:v>
      </x:c>
      <x:c r="C114" s="2" t="n">
        <x:v>33</x:v>
      </x:c>
      <x:c r="D114" s="14" t="n">
        <x:v>0.853653380212033</x:v>
      </x:c>
      <x:c r="E114" s="14"/>
      <x:c r="F114" s="14"/>
      <x:c r="G114" s="14"/>
      <x:c r="H114" s="14"/>
      <x:c r="I114" s="2" t="str">
        <x:v>S007</x:v>
      </x:c>
    </x:row>
    <x:row r="115" ht="27" customHeight="1">
      <x:c r="A115" s="2" t="str">
        <x:v>ae_baseline_remaining_seed42</x:v>
      </x:c>
      <x:c r="B115" s="2" t="str">
        <x:v>2005</x:v>
      </x:c>
      <x:c r="C115" s="2" t="n">
        <x:v>34</x:v>
      </x:c>
      <x:c r="D115" s="14" t="n">
        <x:v>0.8451589484111959</x:v>
      </x:c>
      <x:c r="E115" s="14"/>
      <x:c r="F115" s="14"/>
      <x:c r="G115" s="14"/>
      <x:c r="H115" s="14"/>
      <x:c r="I115" s="2" t="str">
        <x:v>S007</x:v>
      </x:c>
    </x:row>
    <x:row r="116" ht="27" customHeight="1">
      <x:c r="A116" s="2" t="str">
        <x:v>ae_baseline_remaining_seed42</x:v>
      </x:c>
      <x:c r="B116" s="2" t="str">
        <x:v>2005</x:v>
      </x:c>
      <x:c r="C116" s="2" t="n">
        <x:v>35</x:v>
      </x:c>
      <x:c r="D116" s="14" t="n">
        <x:v>0.8535634928283055</x:v>
      </x:c>
      <x:c r="E116" s="14"/>
      <x:c r="F116" s="14"/>
      <x:c r="G116" s="14" t="n">
        <x:v>0.8328063065294764</x:v>
      </x:c>
      <x:c r="H116" s="14"/>
      <x:c r="I116" s="2" t="str">
        <x:v>S007</x:v>
      </x:c>
    </x:row>
    <x:row r="117" ht="27" customHeight="1">
      <x:c r="A117" s="2" t="str">
        <x:v>ae_baseline_remaining_seed42</x:v>
      </x:c>
      <x:c r="B117" s="2" t="str">
        <x:v>2005</x:v>
      </x:c>
      <x:c r="C117" s="2" t="n">
        <x:v>36</x:v>
      </x:c>
      <x:c r="D117" s="14" t="n">
        <x:v>0.842039412025306</x:v>
      </x:c>
      <x:c r="E117" s="14"/>
      <x:c r="F117" s="14"/>
      <x:c r="G117" s="14"/>
      <x:c r="H117" s="14"/>
      <x:c r="I117" s="2" t="str">
        <x:v>S007</x:v>
      </x:c>
    </x:row>
    <x:row r="118" ht="27" customHeight="1">
      <x:c r="A118" s="2" t="str">
        <x:v>ae_baseline_remaining_seed42</x:v>
      </x:c>
      <x:c r="B118" s="2" t="str">
        <x:v>2005</x:v>
      </x:c>
      <x:c r="C118" s="2" t="n">
        <x:v>37</x:v>
      </x:c>
      <x:c r="D118" s="14" t="n">
        <x:v>0.8398188937627997</x:v>
      </x:c>
      <x:c r="E118" s="14"/>
      <x:c r="F118" s="14"/>
      <x:c r="G118" s="14"/>
      <x:c r="H118" s="14"/>
      <x:c r="I118" s="2" t="str">
        <x:v>S007</x:v>
      </x:c>
    </x:row>
    <x:row r="119" ht="27" customHeight="1">
      <x:c r="A119" s="2" t="str">
        <x:v>ae_baseline_remaining_seed42</x:v>
      </x:c>
      <x:c r="B119" s="2" t="str">
        <x:v>2005</x:v>
      </x:c>
      <x:c r="C119" s="2" t="n">
        <x:v>38</x:v>
      </x:c>
      <x:c r="D119" s="14" t="n">
        <x:v>0.8333974421340882</x:v>
      </x:c>
      <x:c r="E119" s="14"/>
      <x:c r="F119" s="14"/>
      <x:c r="G119" s="14"/>
      <x:c r="H119" s="14"/>
      <x:c r="I119" s="2" t="str">
        <x:v>S007</x:v>
      </x:c>
    </x:row>
    <x:row r="120" ht="27" customHeight="1">
      <x:c r="A120" s="2" t="str">
        <x:v>ae_baseline_remaining_seed42</x:v>
      </x:c>
      <x:c r="B120" s="2" t="str">
        <x:v>2005</x:v>
      </x:c>
      <x:c r="C120" s="2" t="n">
        <x:v>39</x:v>
      </x:c>
      <x:c r="D120" s="14" t="n">
        <x:v>0.8364263008703104</x:v>
      </x:c>
      <x:c r="E120" s="14"/>
      <x:c r="F120" s="14"/>
      <x:c r="G120" s="14"/>
      <x:c r="H120" s="14"/>
      <x:c r="I120" s="2" t="str">
        <x:v>S007</x:v>
      </x:c>
    </x:row>
    <x:row r="121" ht="27" customHeight="1">
      <x:c r="A121" s="2" t="str">
        <x:v>ae_baseline_remaining_seed42</x:v>
      </x:c>
      <x:c r="B121" s="2" t="str">
        <x:v>2005</x:v>
      </x:c>
      <x:c r="C121" s="2" t="n">
        <x:v>40</x:v>
      </x:c>
      <x:c r="D121" s="14" t="n">
        <x:v>0.8428951107024658</x:v>
      </x:c>
      <x:c r="E121" s="14"/>
      <x:c r="F121" s="14"/>
      <x:c r="G121" s="14" t="n">
        <x:v>0.8328063065294764</x:v>
      </x:c>
      <x:c r="H121" s="14"/>
      <x:c r="I121" s="2" t="str">
        <x:v>S007</x:v>
      </x:c>
    </x:row>
    <x:row r="122" ht="27" customHeight="1">
      <x:c r="A122" s="2" t="str">
        <x:v>ae_expanded_seed42</x:v>
      </x:c>
      <x:c r="B122" s="2" t="str">
        <x:v>2003</x:v>
      </x:c>
      <x:c r="C122" s="2" t="n">
        <x:v>1</x:v>
      </x:c>
      <x:c r="D122" s="14" t="n">
        <x:v>5.2238345190588795</x:v>
      </x:c>
      <x:c r="E122" s="14"/>
      <x:c r="F122" s="14"/>
      <x:c r="G122" s="14"/>
      <x:c r="H122" s="14"/>
      <x:c r="I122" s="2" t="str">
        <x:v>S010</x:v>
      </x:c>
    </x:row>
    <x:row r="123" ht="27" customHeight="1">
      <x:c r="A123" s="2" t="str">
        <x:v>ae_expanded_seed42</x:v>
      </x:c>
      <x:c r="B123" s="2" t="str">
        <x:v>2003</x:v>
      </x:c>
      <x:c r="C123" s="2" t="n">
        <x:v>2</x:v>
      </x:c>
      <x:c r="D123" s="14" t="n">
        <x:v>3.074956790472662</x:v>
      </x:c>
      <x:c r="E123" s="14"/>
      <x:c r="F123" s="14"/>
      <x:c r="G123" s="14"/>
      <x:c r="H123" s="14"/>
      <x:c r="I123" s="2" t="str">
        <x:v>S010</x:v>
      </x:c>
    </x:row>
    <x:row r="124" ht="27" customHeight="1">
      <x:c r="A124" s="2" t="str">
        <x:v>ae_expanded_seed42</x:v>
      </x:c>
      <x:c r="B124" s="2" t="str">
        <x:v>2003</x:v>
      </x:c>
      <x:c r="C124" s="2" t="n">
        <x:v>3</x:v>
      </x:c>
      <x:c r="D124" s="14" t="n">
        <x:v>2.693713574534877</x:v>
      </x:c>
      <x:c r="E124" s="14"/>
      <x:c r="F124" s="14"/>
      <x:c r="G124" s="14"/>
      <x:c r="H124" s="14"/>
      <x:c r="I124" s="2" t="str">
        <x:v>S010</x:v>
      </x:c>
    </x:row>
    <x:row r="125" ht="27" customHeight="1">
      <x:c r="A125" s="2" t="str">
        <x:v>ae_expanded_seed42</x:v>
      </x:c>
      <x:c r="B125" s="2" t="str">
        <x:v>2003</x:v>
      </x:c>
      <x:c r="C125" s="2" t="n">
        <x:v>4</x:v>
      </x:c>
      <x:c r="D125" s="14" t="n">
        <x:v>2.471426386416089</x:v>
      </x:c>
      <x:c r="E125" s="14"/>
      <x:c r="F125" s="14"/>
      <x:c r="G125" s="14"/>
      <x:c r="H125" s="14"/>
      <x:c r="I125" s="2" t="str">
        <x:v>S010</x:v>
      </x:c>
    </x:row>
    <x:row r="126" ht="27" customHeight="1">
      <x:c r="A126" s="2" t="str">
        <x:v>ae_expanded_seed42</x:v>
      </x:c>
      <x:c r="B126" s="2" t="str">
        <x:v>2003</x:v>
      </x:c>
      <x:c r="C126" s="2" t="n">
        <x:v>5</x:v>
      </x:c>
      <x:c r="D126" s="14" t="n">
        <x:v>2.267415619096763</x:v>
      </x:c>
      <x:c r="E126" s="14"/>
      <x:c r="F126" s="14"/>
      <x:c r="G126" s="14" t="n">
        <x:v>0.7142857142857143</x:v>
      </x:c>
      <x:c r="H126" s="14"/>
      <x:c r="I126" s="2" t="str">
        <x:v>S010</x:v>
      </x:c>
    </x:row>
    <x:row r="127" ht="27" customHeight="1">
      <x:c r="A127" s="2" t="str">
        <x:v>ae_expanded_seed42</x:v>
      </x:c>
      <x:c r="B127" s="2" t="str">
        <x:v>2003</x:v>
      </x:c>
      <x:c r="C127" s="2" t="n">
        <x:v>6</x:v>
      </x:c>
      <x:c r="D127" s="14" t="n">
        <x:v>2.1169610229001767</x:v>
      </x:c>
      <x:c r="E127" s="14"/>
      <x:c r="F127" s="14"/>
      <x:c r="G127" s="14"/>
      <x:c r="H127" s="14"/>
      <x:c r="I127" s="2" t="str">
        <x:v>S010</x:v>
      </x:c>
    </x:row>
    <x:row r="128" ht="27" customHeight="1">
      <x:c r="A128" s="2" t="str">
        <x:v>ae_expanded_seed42</x:v>
      </x:c>
      <x:c r="B128" s="2" t="str">
        <x:v>2003</x:v>
      </x:c>
      <x:c r="C128" s="2" t="n">
        <x:v>7</x:v>
      </x:c>
      <x:c r="D128" s="14" t="n">
        <x:v>2.0289655877365695</x:v>
      </x:c>
      <x:c r="E128" s="14"/>
      <x:c r="F128" s="14"/>
      <x:c r="G128" s="14"/>
      <x:c r="H128" s="14"/>
      <x:c r="I128" s="2" t="str">
        <x:v>S010</x:v>
      </x:c>
    </x:row>
    <x:row r="129" ht="27" customHeight="1">
      <x:c r="A129" s="2" t="str">
        <x:v>ae_expanded_seed42</x:v>
      </x:c>
      <x:c r="B129" s="2" t="str">
        <x:v>2003</x:v>
      </x:c>
      <x:c r="C129" s="2" t="n">
        <x:v>8</x:v>
      </x:c>
      <x:c r="D129" s="14" t="n">
        <x:v>1.9409900110642173</x:v>
      </x:c>
      <x:c r="E129" s="14"/>
      <x:c r="F129" s="14"/>
      <x:c r="G129" s="14"/>
      <x:c r="H129" s="14"/>
      <x:c r="I129" s="2" t="str">
        <x:v>S010</x:v>
      </x:c>
    </x:row>
    <x:row r="130" ht="27" customHeight="1">
      <x:c r="A130" s="2" t="str">
        <x:v>ae_expanded_seed42</x:v>
      </x:c>
      <x:c r="B130" s="2" t="str">
        <x:v>2003</x:v>
      </x:c>
      <x:c r="C130" s="2" t="n">
        <x:v>9</x:v>
      </x:c>
      <x:c r="D130" s="14" t="n">
        <x:v>1.8797778318274883</x:v>
      </x:c>
      <x:c r="E130" s="14"/>
      <x:c r="F130" s="14"/>
      <x:c r="G130" s="14"/>
      <x:c r="H130" s="14"/>
      <x:c r="I130" s="2" t="str">
        <x:v>S010</x:v>
      </x:c>
    </x:row>
    <x:row r="131" ht="27" customHeight="1">
      <x:c r="A131" s="2" t="str">
        <x:v>ae_expanded_seed42</x:v>
      </x:c>
      <x:c r="B131" s="2" t="str">
        <x:v>2003</x:v>
      </x:c>
      <x:c r="C131" s="2" t="n">
        <x:v>10</x:v>
      </x:c>
      <x:c r="D131" s="14" t="n">
        <x:v>1.8444633253457514</x:v>
      </x:c>
      <x:c r="E131" s="14"/>
      <x:c r="F131" s="14"/>
      <x:c r="G131" s="14" t="n">
        <x:v>0.9086772883441349</x:v>
      </x:c>
      <x:c r="H131" s="14"/>
      <x:c r="I131" s="2" t="str">
        <x:v>S010</x:v>
      </x:c>
    </x:row>
    <x:row r="132" ht="27" customHeight="1">
      <x:c r="A132" s="2" t="str">
        <x:v>ae_expanded_seed42</x:v>
      </x:c>
      <x:c r="B132" s="2" t="str">
        <x:v>2003</x:v>
      </x:c>
      <x:c r="C132" s="2" t="n">
        <x:v>11</x:v>
      </x:c>
      <x:c r="D132" s="14" t="n">
        <x:v>1.8202387312627168</x:v>
      </x:c>
      <x:c r="E132" s="14"/>
      <x:c r="F132" s="14"/>
      <x:c r="G132" s="14"/>
      <x:c r="H132" s="14"/>
      <x:c r="I132" s="2" t="str">
        <x:v>S010</x:v>
      </x:c>
    </x:row>
    <x:row r="133" ht="27" customHeight="1">
      <x:c r="A133" s="2" t="str">
        <x:v>ae_expanded_seed42</x:v>
      </x:c>
      <x:c r="B133" s="2" t="str">
        <x:v>2003</x:v>
      </x:c>
      <x:c r="C133" s="2" t="n">
        <x:v>12</x:v>
      </x:c>
      <x:c r="D133" s="14" t="n">
        <x:v>1.7572689139120243</x:v>
      </x:c>
      <x:c r="E133" s="14"/>
      <x:c r="F133" s="14"/>
      <x:c r="G133" s="14"/>
      <x:c r="H133" s="14"/>
      <x:c r="I133" s="2" t="str">
        <x:v>S010</x:v>
      </x:c>
    </x:row>
    <x:row r="134" ht="27" customHeight="1">
      <x:c r="A134" s="2" t="str">
        <x:v>ae_expanded_seed42</x:v>
      </x:c>
      <x:c r="B134" s="2" t="str">
        <x:v>2003</x:v>
      </x:c>
      <x:c r="C134" s="2" t="n">
        <x:v>13</x:v>
      </x:c>
      <x:c r="D134" s="14" t="n">
        <x:v>1.7240605404814113</x:v>
      </x:c>
      <x:c r="E134" s="14"/>
      <x:c r="F134" s="14"/>
      <x:c r="G134" s="14"/>
      <x:c r="H134" s="14"/>
      <x:c r="I134" s="2" t="str">
        <x:v>S010</x:v>
      </x:c>
    </x:row>
    <x:row r="135" ht="27" customHeight="1">
      <x:c r="A135" s="2" t="str">
        <x:v>ae_expanded_seed42</x:v>
      </x:c>
      <x:c r="B135" s="2" t="str">
        <x:v>2003</x:v>
      </x:c>
      <x:c r="C135" s="2" t="n">
        <x:v>14</x:v>
      </x:c>
      <x:c r="D135" s="14" t="n">
        <x:v>1.6972325338313317</x:v>
      </x:c>
      <x:c r="E135" s="14"/>
      <x:c r="F135" s="14"/>
      <x:c r="G135" s="14"/>
      <x:c r="H135" s="14"/>
      <x:c r="I135" s="2" t="str">
        <x:v>S010</x:v>
      </x:c>
    </x:row>
    <x:row r="136" ht="27" customHeight="1">
      <x:c r="A136" s="2" t="str">
        <x:v>ae_expanded_seed42</x:v>
      </x:c>
      <x:c r="B136" s="2" t="str">
        <x:v>2003</x:v>
      </x:c>
      <x:c r="C136" s="2" t="n">
        <x:v>15</x:v>
      </x:c>
      <x:c r="D136" s="14" t="n">
        <x:v>1.685377474180358</x:v>
      </x:c>
      <x:c r="E136" s="14"/>
      <x:c r="F136" s="14"/>
      <x:c r="G136" s="14" t="n">
        <x:v>0.9086772883441349</x:v>
      </x:c>
      <x:c r="H136" s="14"/>
      <x:c r="I136" s="2" t="str">
        <x:v>S010</x:v>
      </x:c>
    </x:row>
    <x:row r="137" ht="27" customHeight="1">
      <x:c r="A137" s="2" t="str">
        <x:v>ae_expanded_seed42</x:v>
      </x:c>
      <x:c r="B137" s="2" t="str">
        <x:v>2003</x:v>
      </x:c>
      <x:c r="C137" s="2" t="n">
        <x:v>16</x:v>
      </x:c>
      <x:c r="D137" s="14" t="n">
        <x:v>1.6533048039015146</x:v>
      </x:c>
      <x:c r="E137" s="14"/>
      <x:c r="F137" s="14"/>
      <x:c r="G137" s="14"/>
      <x:c r="H137" s="14"/>
      <x:c r="I137" s="2" t="str">
        <x:v>S010</x:v>
      </x:c>
    </x:row>
    <x:row r="138" ht="27" customHeight="1">
      <x:c r="A138" s="2" t="str">
        <x:v>ae_expanded_seed42</x:v>
      </x:c>
      <x:c r="B138" s="2" t="str">
        <x:v>2003</x:v>
      </x:c>
      <x:c r="C138" s="2" t="n">
        <x:v>17</x:v>
      </x:c>
      <x:c r="D138" s="14" t="n">
        <x:v>1.6326741007686618</x:v>
      </x:c>
      <x:c r="E138" s="14"/>
      <x:c r="F138" s="14"/>
      <x:c r="G138" s="14"/>
      <x:c r="H138" s="14"/>
      <x:c r="I138" s="2" t="str">
        <x:v>S010</x:v>
      </x:c>
    </x:row>
    <x:row r="139" ht="27" customHeight="1">
      <x:c r="A139" s="2" t="str">
        <x:v>ae_expanded_seed42</x:v>
      </x:c>
      <x:c r="B139" s="2" t="str">
        <x:v>2003</x:v>
      </x:c>
      <x:c r="C139" s="2" t="n">
        <x:v>18</x:v>
      </x:c>
      <x:c r="D139" s="14" t="n">
        <x:v>1.6084136247983198</x:v>
      </x:c>
      <x:c r="E139" s="14"/>
      <x:c r="F139" s="14"/>
      <x:c r="G139" s="14"/>
      <x:c r="H139" s="14"/>
      <x:c r="I139" s="2" t="str">
        <x:v>S010</x:v>
      </x:c>
    </x:row>
    <x:row r="140" ht="27" customHeight="1">
      <x:c r="A140" s="2" t="str">
        <x:v>ae_expanded_seed42</x:v>
      </x:c>
      <x:c r="B140" s="2" t="str">
        <x:v>2003</x:v>
      </x:c>
      <x:c r="C140" s="2" t="n">
        <x:v>19</x:v>
      </x:c>
      <x:c r="D140" s="14" t="n">
        <x:v>1.5833744271403252</x:v>
      </x:c>
      <x:c r="E140" s="14"/>
      <x:c r="F140" s="14"/>
      <x:c r="G140" s="14"/>
      <x:c r="H140" s="14"/>
      <x:c r="I140" s="2" t="str">
        <x:v>S010</x:v>
      </x:c>
    </x:row>
    <x:row r="141" ht="27" customHeight="1">
      <x:c r="A141" s="2" t="str">
        <x:v>ae_expanded_seed42</x:v>
      </x:c>
      <x:c r="B141" s="2" t="str">
        <x:v>2003</x:v>
      </x:c>
      <x:c r="C141" s="2" t="n">
        <x:v>20</x:v>
      </x:c>
      <x:c r="D141" s="14" t="n">
        <x:v>1.5652722979305955</x:v>
      </x:c>
      <x:c r="E141" s="14"/>
      <x:c r="F141" s="14"/>
      <x:c r="G141" s="14" t="n">
        <x:v>0.9086772883441349</x:v>
      </x:c>
      <x:c r="H141" s="14"/>
      <x:c r="I141" s="2" t="str">
        <x:v>S010</x:v>
      </x:c>
    </x:row>
    <x:row r="142" ht="27" customHeight="1">
      <x:c r="A142" s="2" t="str">
        <x:v>ae_expanded_seed42</x:v>
      </x:c>
      <x:c r="B142" s="2" t="str">
        <x:v>2003</x:v>
      </x:c>
      <x:c r="C142" s="2" t="n">
        <x:v>21</x:v>
      </x:c>
      <x:c r="D142" s="14" t="n">
        <x:v>1.5576180707938136</x:v>
      </x:c>
      <x:c r="E142" s="14"/>
      <x:c r="F142" s="14"/>
      <x:c r="G142" s="14"/>
      <x:c r="H142" s="14"/>
      <x:c r="I142" s="2" t="str">
        <x:v>S010</x:v>
      </x:c>
    </x:row>
    <x:row r="143" ht="27" customHeight="1">
      <x:c r="A143" s="2" t="str">
        <x:v>ae_expanded_seed42</x:v>
      </x:c>
      <x:c r="B143" s="2" t="str">
        <x:v>2003</x:v>
      </x:c>
      <x:c r="C143" s="2" t="n">
        <x:v>22</x:v>
      </x:c>
      <x:c r="D143" s="14" t="n">
        <x:v>1.5431712725416773</x:v>
      </x:c>
      <x:c r="E143" s="14"/>
      <x:c r="F143" s="14"/>
      <x:c r="G143" s="14"/>
      <x:c r="H143" s="14"/>
      <x:c r="I143" s="2" t="str">
        <x:v>S010</x:v>
      </x:c>
    </x:row>
    <x:row r="144" ht="27" customHeight="1">
      <x:c r="A144" s="2" t="str">
        <x:v>ae_expanded_seed42</x:v>
      </x:c>
      <x:c r="B144" s="2" t="str">
        <x:v>2003</x:v>
      </x:c>
      <x:c r="C144" s="2" t="n">
        <x:v>23</x:v>
      </x:c>
      <x:c r="D144" s="14" t="n">
        <x:v>1.5249775197599125</x:v>
      </x:c>
      <x:c r="E144" s="14"/>
      <x:c r="F144" s="14"/>
      <x:c r="G144" s="14"/>
      <x:c r="H144" s="14"/>
      <x:c r="I144" s="2" t="str">
        <x:v>S010</x:v>
      </x:c>
    </x:row>
    <x:row r="145" ht="27" customHeight="1">
      <x:c r="A145" s="2" t="str">
        <x:v>ae_expanded_seed42</x:v>
      </x:c>
      <x:c r="B145" s="2" t="str">
        <x:v>2003</x:v>
      </x:c>
      <x:c r="C145" s="2" t="n">
        <x:v>24</x:v>
      </x:c>
      <x:c r="D145" s="14" t="n">
        <x:v>1.5097064323630796</x:v>
      </x:c>
      <x:c r="E145" s="14"/>
      <x:c r="F145" s="14"/>
      <x:c r="G145" s="14"/>
      <x:c r="H145" s="14"/>
      <x:c r="I145" s="2" t="str">
        <x:v>S010</x:v>
      </x:c>
    </x:row>
    <x:row r="146" ht="27" customHeight="1">
      <x:c r="A146" s="2" t="str">
        <x:v>ae_expanded_seed42</x:v>
      </x:c>
      <x:c r="B146" s="2" t="str">
        <x:v>2003</x:v>
      </x:c>
      <x:c r="C146" s="2" t="n">
        <x:v>25</x:v>
      </x:c>
      <x:c r="D146" s="14" t="n">
        <x:v>1.5161270066997794</x:v>
      </x:c>
      <x:c r="E146" s="14"/>
      <x:c r="F146" s="14"/>
      <x:c r="G146" s="14" t="n">
        <x:v>0.9086772883441349</x:v>
      </x:c>
      <x:c r="H146" s="14"/>
      <x:c r="I146" s="2" t="str">
        <x:v>S010</x:v>
      </x:c>
    </x:row>
    <x:row r="147" ht="27" customHeight="1">
      <x:c r="A147" s="2" t="str">
        <x:v>ae_expanded_seed42</x:v>
      </x:c>
      <x:c r="B147" s="2" t="str">
        <x:v>2003</x:v>
      </x:c>
      <x:c r="C147" s="2" t="n">
        <x:v>26</x:v>
      </x:c>
      <x:c r="D147" s="14" t="n">
        <x:v>1.479928996133665</x:v>
      </x:c>
      <x:c r="E147" s="14"/>
      <x:c r="F147" s="14"/>
      <x:c r="G147" s="14"/>
      <x:c r="H147" s="14"/>
      <x:c r="I147" s="2" t="str">
        <x:v>S010</x:v>
      </x:c>
    </x:row>
    <x:row r="148" ht="27" customHeight="1">
      <x:c r="A148" s="2" t="str">
        <x:v>ae_expanded_seed42</x:v>
      </x:c>
      <x:c r="B148" s="2" t="str">
        <x:v>2003</x:v>
      </x:c>
      <x:c r="C148" s="2" t="n">
        <x:v>27</x:v>
      </x:c>
      <x:c r="D148" s="14" t="n">
        <x:v>1.4685857517276044</x:v>
      </x:c>
      <x:c r="E148" s="14"/>
      <x:c r="F148" s="14"/>
      <x:c r="G148" s="14"/>
      <x:c r="H148" s="14"/>
      <x:c r="I148" s="2" t="str">
        <x:v>S010</x:v>
      </x:c>
    </x:row>
    <x:row r="149" ht="27" customHeight="1">
      <x:c r="A149" s="2" t="str">
        <x:v>ae_expanded_seed42</x:v>
      </x:c>
      <x:c r="B149" s="2" t="str">
        <x:v>2003</x:v>
      </x:c>
      <x:c r="C149" s="2" t="n">
        <x:v>28</x:v>
      </x:c>
      <x:c r="D149" s="14" t="n">
        <x:v>1.4583043785231056</x:v>
      </x:c>
      <x:c r="E149" s="14"/>
      <x:c r="F149" s="14"/>
      <x:c r="G149" s="14"/>
      <x:c r="H149" s="14"/>
      <x:c r="I149" s="2" t="str">
        <x:v>S010</x:v>
      </x:c>
    </x:row>
    <x:row r="150" ht="27" customHeight="1">
      <x:c r="A150" s="2" t="str">
        <x:v>ae_expanded_seed42</x:v>
      </x:c>
      <x:c r="B150" s="2" t="str">
        <x:v>2003</x:v>
      </x:c>
      <x:c r="C150" s="2" t="n">
        <x:v>29</x:v>
      </x:c>
      <x:c r="D150" s="14" t="n">
        <x:v>1.4507002998782912</x:v>
      </x:c>
      <x:c r="E150" s="14"/>
      <x:c r="F150" s="14"/>
      <x:c r="G150" s="14"/>
      <x:c r="H150" s="14"/>
      <x:c r="I150" s="2" t="str">
        <x:v>S010</x:v>
      </x:c>
    </x:row>
    <x:row r="151" ht="27" customHeight="1">
      <x:c r="A151" s="2" t="str">
        <x:v>ae_expanded_seed42</x:v>
      </x:c>
      <x:c r="B151" s="2" t="str">
        <x:v>2003</x:v>
      </x:c>
      <x:c r="C151" s="2" t="n">
        <x:v>30</x:v>
      </x:c>
      <x:c r="D151" s="14" t="n">
        <x:v>1.4327495741127965</x:v>
      </x:c>
      <x:c r="E151" s="14"/>
      <x:c r="F151" s="14"/>
      <x:c r="G151" s="14" t="n">
        <x:v>0.9086772883441349</x:v>
      </x:c>
      <x:c r="H151" s="14"/>
      <x:c r="I151" s="2" t="str">
        <x:v>S010</x:v>
      </x:c>
    </x:row>
    <x:row r="152" ht="27" customHeight="1">
      <x:c r="A152" s="2" t="str">
        <x:v>ae_expanded_seed42</x:v>
      </x:c>
      <x:c r="B152" s="2" t="str">
        <x:v>2003</x:v>
      </x:c>
      <x:c r="C152" s="2" t="n">
        <x:v>31</x:v>
      </x:c>
      <x:c r="D152" s="14" t="n">
        <x:v>1.4520773460844993</x:v>
      </x:c>
      <x:c r="E152" s="14"/>
      <x:c r="F152" s="14"/>
      <x:c r="G152" s="14"/>
      <x:c r="H152" s="14"/>
      <x:c r="I152" s="2" t="str">
        <x:v>S010</x:v>
      </x:c>
    </x:row>
    <x:row r="153" ht="27" customHeight="1">
      <x:c r="A153" s="2" t="str">
        <x:v>ae_expanded_seed42</x:v>
      </x:c>
      <x:c r="B153" s="2" t="str">
        <x:v>2003</x:v>
      </x:c>
      <x:c r="C153" s="2" t="n">
        <x:v>32</x:v>
      </x:c>
      <x:c r="D153" s="14" t="n">
        <x:v>1.4103357344049445</x:v>
      </x:c>
      <x:c r="E153" s="14"/>
      <x:c r="F153" s="14"/>
      <x:c r="G153" s="14"/>
      <x:c r="H153" s="14"/>
      <x:c r="I153" s="2" t="str">
        <x:v>S010</x:v>
      </x:c>
    </x:row>
    <x:row r="154" ht="27" customHeight="1">
      <x:c r="A154" s="2" t="str">
        <x:v>ae_expanded_seed42</x:v>
      </x:c>
      <x:c r="B154" s="2" t="str">
        <x:v>2003</x:v>
      </x:c>
      <x:c r="C154" s="2" t="n">
        <x:v>33</x:v>
      </x:c>
      <x:c r="D154" s="14" t="n">
        <x:v>1.4164183031607058</x:v>
      </x:c>
      <x:c r="E154" s="14"/>
      <x:c r="F154" s="14"/>
      <x:c r="G154" s="14"/>
      <x:c r="H154" s="14"/>
      <x:c r="I154" s="2" t="str">
        <x:v>S010</x:v>
      </x:c>
    </x:row>
    <x:row r="155" ht="27" customHeight="1">
      <x:c r="A155" s="2" t="str">
        <x:v>ae_expanded_seed42</x:v>
      </x:c>
      <x:c r="B155" s="2" t="str">
        <x:v>2003</x:v>
      </x:c>
      <x:c r="C155" s="2" t="n">
        <x:v>34</x:v>
      </x:c>
      <x:c r="D155" s="14" t="n">
        <x:v>1.397464693071548</x:v>
      </x:c>
      <x:c r="E155" s="14"/>
      <x:c r="F155" s="14"/>
      <x:c r="G155" s="14"/>
      <x:c r="H155" s="14"/>
      <x:c r="I155" s="2" t="str">
        <x:v>S010</x:v>
      </x:c>
    </x:row>
    <x:row r="156" ht="27" customHeight="1">
      <x:c r="A156" s="2" t="str">
        <x:v>ae_expanded_seed42</x:v>
      </x:c>
      <x:c r="B156" s="2" t="str">
        <x:v>2003</x:v>
      </x:c>
      <x:c r="C156" s="2" t="n">
        <x:v>35</x:v>
      </x:c>
      <x:c r="D156" s="14" t="n">
        <x:v>1.4163028414097905</x:v>
      </x:c>
      <x:c r="E156" s="14"/>
      <x:c r="F156" s="14"/>
      <x:c r="G156" s="14" t="n">
        <x:v>0.9086772883441349</x:v>
      </x:c>
      <x:c r="H156" s="14"/>
      <x:c r="I156" s="2" t="str">
        <x:v>S010</x:v>
      </x:c>
    </x:row>
    <x:row r="157" ht="27" customHeight="1">
      <x:c r="A157" s="2" t="str">
        <x:v>ae_expanded_seed42</x:v>
      </x:c>
      <x:c r="B157" s="2" t="str">
        <x:v>2003</x:v>
      </x:c>
      <x:c r="C157" s="2" t="n">
        <x:v>36</x:v>
      </x:c>
      <x:c r="D157" s="14" t="n">
        <x:v>1.389699402807445</x:v>
      </x:c>
      <x:c r="E157" s="14"/>
      <x:c r="F157" s="14"/>
      <x:c r="G157" s="14"/>
      <x:c r="H157" s="14"/>
      <x:c r="I157" s="2" t="str">
        <x:v>S010</x:v>
      </x:c>
    </x:row>
    <x:row r="158" ht="27" customHeight="1">
      <x:c r="A158" s="2" t="str">
        <x:v>ae_expanded_seed42</x:v>
      </x:c>
      <x:c r="B158" s="2" t="str">
        <x:v>2003</x:v>
      </x:c>
      <x:c r="C158" s="2" t="n">
        <x:v>37</x:v>
      </x:c>
      <x:c r="D158" s="14" t="n">
        <x:v>1.4086450796609729</x:v>
      </x:c>
      <x:c r="E158" s="14"/>
      <x:c r="F158" s="14"/>
      <x:c r="G158" s="14"/>
      <x:c r="H158" s="14"/>
      <x:c r="I158" s="2" t="str">
        <x:v>S010</x:v>
      </x:c>
    </x:row>
    <x:row r="159" ht="27" customHeight="1">
      <x:c r="A159" s="2" t="str">
        <x:v>ae_expanded_seed42</x:v>
      </x:c>
      <x:c r="B159" s="2" t="str">
        <x:v>2003</x:v>
      </x:c>
      <x:c r="C159" s="2" t="n">
        <x:v>38</x:v>
      </x:c>
      <x:c r="D159" s="14" t="n">
        <x:v>1.4072019164800817</x:v>
      </x:c>
      <x:c r="E159" s="14"/>
      <x:c r="F159" s="14"/>
      <x:c r="G159" s="14"/>
      <x:c r="H159" s="14"/>
      <x:c r="I159" s="2" t="str">
        <x:v>S010</x:v>
      </x:c>
    </x:row>
    <x:row r="160" ht="27" customHeight="1">
      <x:c r="A160" s="2" t="str">
        <x:v>ae_expanded_seed42</x:v>
      </x:c>
      <x:c r="B160" s="2" t="str">
        <x:v>2003</x:v>
      </x:c>
      <x:c r="C160" s="2" t="n">
        <x:v>39</x:v>
      </x:c>
      <x:c r="D160" s="14" t="n">
        <x:v>1.3908718042973622</x:v>
      </x:c>
      <x:c r="E160" s="14"/>
      <x:c r="F160" s="14"/>
      <x:c r="G160" s="14"/>
      <x:c r="H160" s="14"/>
      <x:c r="I160" s="2" t="str">
        <x:v>S010</x:v>
      </x:c>
    </x:row>
    <x:row r="161" ht="27" customHeight="1">
      <x:c r="A161" s="2" t="str">
        <x:v>ae_expanded_seed42</x:v>
      </x:c>
      <x:c r="B161" s="2" t="str">
        <x:v>2003</x:v>
      </x:c>
      <x:c r="C161" s="2" t="n">
        <x:v>40</x:v>
      </x:c>
      <x:c r="D161" s="14" t="n">
        <x:v>1.4047402992648657</x:v>
      </x:c>
      <x:c r="E161" s="14"/>
      <x:c r="F161" s="14"/>
      <x:c r="G161" s="14" t="n">
        <x:v>0.9996123048611332</x:v>
      </x:c>
      <x:c r="H161" s="14"/>
      <x:c r="I161" s="2" t="str">
        <x:v>S010</x:v>
      </x:c>
    </x:row>
    <x:row r="162" ht="27" customHeight="1">
      <x:c r="A162" s="2" t="str">
        <x:v>ae_expanded_seed42</x:v>
      </x:c>
      <x:c r="B162" s="2" t="str">
        <x:v>2004</x:v>
      </x:c>
      <x:c r="C162" s="2" t="n">
        <x:v>1</x:v>
      </x:c>
      <x:c r="D162" s="14" t="n">
        <x:v>4.562508380513668</x:v>
      </x:c>
      <x:c r="E162" s="14"/>
      <x:c r="F162" s="14"/>
      <x:c r="G162" s="14"/>
      <x:c r="H162" s="14"/>
      <x:c r="I162" s="2" t="str">
        <x:v>S011</x:v>
      </x:c>
    </x:row>
    <x:row r="163" ht="27" customHeight="1">
      <x:c r="A163" s="2" t="str">
        <x:v>ae_expanded_seed42</x:v>
      </x:c>
      <x:c r="B163" s="2" t="str">
        <x:v>2004</x:v>
      </x:c>
      <x:c r="C163" s="2" t="n">
        <x:v>2</x:v>
      </x:c>
      <x:c r="D163" s="14" t="n">
        <x:v>2.869575265574903</x:v>
      </x:c>
      <x:c r="E163" s="14"/>
      <x:c r="F163" s="14"/>
      <x:c r="G163" s="14"/>
      <x:c r="H163" s="14"/>
      <x:c r="I163" s="2" t="str">
        <x:v>S011</x:v>
      </x:c>
    </x:row>
    <x:row r="164" ht="27" customHeight="1">
      <x:c r="A164" s="2" t="str">
        <x:v>ae_expanded_seed42</x:v>
      </x:c>
      <x:c r="B164" s="2" t="str">
        <x:v>2004</x:v>
      </x:c>
      <x:c r="C164" s="2" t="n">
        <x:v>3</x:v>
      </x:c>
      <x:c r="D164" s="14" t="n">
        <x:v>2.43948230054052</x:v>
      </x:c>
      <x:c r="E164" s="14"/>
      <x:c r="F164" s="14"/>
      <x:c r="G164" s="14"/>
      <x:c r="H164" s="14"/>
      <x:c r="I164" s="2" t="str">
        <x:v>S011</x:v>
      </x:c>
    </x:row>
    <x:row r="165" ht="27" customHeight="1">
      <x:c r="A165" s="2" t="str">
        <x:v>ae_expanded_seed42</x:v>
      </x:c>
      <x:c r="B165" s="2" t="str">
        <x:v>2004</x:v>
      </x:c>
      <x:c r="C165" s="2" t="n">
        <x:v>4</x:v>
      </x:c>
      <x:c r="D165" s="14" t="n">
        <x:v>2.1885023219625013</x:v>
      </x:c>
      <x:c r="E165" s="14"/>
      <x:c r="F165" s="14"/>
      <x:c r="G165" s="14"/>
      <x:c r="H165" s="14"/>
      <x:c r="I165" s="2" t="str">
        <x:v>S011</x:v>
      </x:c>
    </x:row>
    <x:row r="166" ht="27" customHeight="1">
      <x:c r="A166" s="2" t="str">
        <x:v>ae_expanded_seed42</x:v>
      </x:c>
      <x:c r="B166" s="2" t="str">
        <x:v>2004</x:v>
      </x:c>
      <x:c r="C166" s="2" t="n">
        <x:v>5</x:v>
      </x:c>
      <x:c r="D166" s="14" t="n">
        <x:v>2.0682285493364003</x:v>
      </x:c>
      <x:c r="E166" s="14"/>
      <x:c r="F166" s="14"/>
      <x:c r="G166" s="14" t="n">
        <x:v>0.15077210658999313</x:v>
      </x:c>
      <x:c r="H166" s="14"/>
      <x:c r="I166" s="2" t="str">
        <x:v>S011</x:v>
      </x:c>
    </x:row>
    <x:row r="167" ht="27" customHeight="1">
      <x:c r="A167" s="2" t="str">
        <x:v>ae_expanded_seed42</x:v>
      </x:c>
      <x:c r="B167" s="2" t="str">
        <x:v>2004</x:v>
      </x:c>
      <x:c r="C167" s="2" t="n">
        <x:v>6</x:v>
      </x:c>
      <x:c r="D167" s="14" t="n">
        <x:v>1.9767154782012475</x:v>
      </x:c>
      <x:c r="E167" s="14"/>
      <x:c r="F167" s="14"/>
      <x:c r="G167" s="14"/>
      <x:c r="H167" s="14"/>
      <x:c r="I167" s="2" t="str">
        <x:v>S011</x:v>
      </x:c>
    </x:row>
    <x:row r="168" ht="27" customHeight="1">
      <x:c r="A168" s="2" t="str">
        <x:v>ae_expanded_seed42</x:v>
      </x:c>
      <x:c r="B168" s="2" t="str">
        <x:v>2004</x:v>
      </x:c>
      <x:c r="C168" s="2" t="n">
        <x:v>7</x:v>
      </x:c>
      <x:c r="D168" s="14" t="n">
        <x:v>1.87258847212389</x:v>
      </x:c>
      <x:c r="E168" s="14"/>
      <x:c r="F168" s="14"/>
      <x:c r="G168" s="14"/>
      <x:c r="H168" s="14"/>
      <x:c r="I168" s="2" t="str">
        <x:v>S011</x:v>
      </x:c>
    </x:row>
    <x:row r="169" ht="27" customHeight="1">
      <x:c r="A169" s="2" t="str">
        <x:v>ae_expanded_seed42</x:v>
      </x:c>
      <x:c r="B169" s="2" t="str">
        <x:v>2004</x:v>
      </x:c>
      <x:c r="C169" s="2" t="n">
        <x:v>8</x:v>
      </x:c>
      <x:c r="D169" s="14" t="n">
        <x:v>1.8397300707897957</x:v>
      </x:c>
      <x:c r="E169" s="14"/>
      <x:c r="F169" s="14"/>
      <x:c r="G169" s="14"/>
      <x:c r="H169" s="14"/>
      <x:c r="I169" s="2" t="str">
        <x:v>S011</x:v>
      </x:c>
    </x:row>
    <x:row r="170" ht="27" customHeight="1">
      <x:c r="A170" s="2" t="str">
        <x:v>ae_expanded_seed42</x:v>
      </x:c>
      <x:c r="B170" s="2" t="str">
        <x:v>2004</x:v>
      </x:c>
      <x:c r="C170" s="2" t="n">
        <x:v>9</x:v>
      </x:c>
      <x:c r="D170" s="14" t="n">
        <x:v>1.7628402884450167</x:v>
      </x:c>
      <x:c r="E170" s="14"/>
      <x:c r="F170" s="14"/>
      <x:c r="G170" s="14"/>
      <x:c r="H170" s="14"/>
      <x:c r="I170" s="2" t="str">
        <x:v>S011</x:v>
      </x:c>
    </x:row>
    <x:row r="171" ht="27" customHeight="1">
      <x:c r="A171" s="2" t="str">
        <x:v>ae_expanded_seed42</x:v>
      </x:c>
      <x:c r="B171" s="2" t="str">
        <x:v>2004</x:v>
      </x:c>
      <x:c r="C171" s="2" t="n">
        <x:v>10</x:v>
      </x:c>
      <x:c r="D171" s="14" t="n">
        <x:v>1.7266048792513327</x:v>
      </x:c>
      <x:c r="E171" s="14"/>
      <x:c r="F171" s="14"/>
      <x:c r="G171" s="14" t="n">
        <x:v>0.13385758258746921</x:v>
      </x:c>
      <x:c r="H171" s="14"/>
      <x:c r="I171" s="2" t="str">
        <x:v>S011</x:v>
      </x:c>
    </x:row>
    <x:row r="172" ht="27" customHeight="1">
      <x:c r="A172" s="2" t="str">
        <x:v>ae_expanded_seed42</x:v>
      </x:c>
      <x:c r="B172" s="2" t="str">
        <x:v>2004</x:v>
      </x:c>
      <x:c r="C172" s="2" t="n">
        <x:v>11</x:v>
      </x:c>
      <x:c r="D172" s="14" t="n">
        <x:v>1.6943112304010737</x:v>
      </x:c>
      <x:c r="E172" s="14"/>
      <x:c r="F172" s="14"/>
      <x:c r="G172" s="14"/>
      <x:c r="H172" s="14"/>
      <x:c r="I172" s="2" t="str">
        <x:v>S011</x:v>
      </x:c>
    </x:row>
    <x:row r="173" ht="27" customHeight="1">
      <x:c r="A173" s="2" t="str">
        <x:v>ae_expanded_seed42</x:v>
      </x:c>
      <x:c r="B173" s="2" t="str">
        <x:v>2004</x:v>
      </x:c>
      <x:c r="C173" s="2" t="n">
        <x:v>12</x:v>
      </x:c>
      <x:c r="D173" s="14" t="n">
        <x:v>1.6720122000176674</x:v>
      </x:c>
      <x:c r="E173" s="14"/>
      <x:c r="F173" s="14"/>
      <x:c r="G173" s="14"/>
      <x:c r="H173" s="14"/>
      <x:c r="I173" s="2" t="str">
        <x:v>S011</x:v>
      </x:c>
    </x:row>
    <x:row r="174" ht="27" customHeight="1">
      <x:c r="A174" s="2" t="str">
        <x:v>ae_expanded_seed42</x:v>
      </x:c>
      <x:c r="B174" s="2" t="str">
        <x:v>2004</x:v>
      </x:c>
      <x:c r="C174" s="2" t="n">
        <x:v>13</x:v>
      </x:c>
      <x:c r="D174" s="14" t="n">
        <x:v>1.6387666653473567</x:v>
      </x:c>
      <x:c r="E174" s="14"/>
      <x:c r="F174" s="14"/>
      <x:c r="G174" s="14"/>
      <x:c r="H174" s="14"/>
      <x:c r="I174" s="2" t="str">
        <x:v>S011</x:v>
      </x:c>
    </x:row>
    <x:row r="175" ht="27" customHeight="1">
      <x:c r="A175" s="2" t="str">
        <x:v>ae_expanded_seed42</x:v>
      </x:c>
      <x:c r="B175" s="2" t="str">
        <x:v>2004</x:v>
      </x:c>
      <x:c r="C175" s="2" t="n">
        <x:v>14</x:v>
      </x:c>
      <x:c r="D175" s="14" t="n">
        <x:v>1.6260036326480307</x:v>
      </x:c>
      <x:c r="E175" s="14"/>
      <x:c r="F175" s="14"/>
      <x:c r="G175" s="14"/>
      <x:c r="H175" s="14"/>
      <x:c r="I175" s="2" t="str">
        <x:v>S011</x:v>
      </x:c>
    </x:row>
    <x:row r="176" ht="27" customHeight="1">
      <x:c r="A176" s="2" t="str">
        <x:v>ae_expanded_seed42</x:v>
      </x:c>
      <x:c r="B176" s="2" t="str">
        <x:v>2004</x:v>
      </x:c>
      <x:c r="C176" s="2" t="n">
        <x:v>15</x:v>
      </x:c>
      <x:c r="D176" s="14" t="n">
        <x:v>1.6025485774330246</x:v>
      </x:c>
      <x:c r="E176" s="14"/>
      <x:c r="F176" s="14"/>
      <x:c r="G176" s="14" t="n">
        <x:v>0.07612674629287178</x:v>
      </x:c>
      <x:c r="H176" s="14"/>
      <x:c r="I176" s="2" t="str">
        <x:v>S011</x:v>
      </x:c>
    </x:row>
    <x:row r="177" ht="27" customHeight="1">
      <x:c r="A177" s="2" t="str">
        <x:v>ae_expanded_seed42</x:v>
      </x:c>
      <x:c r="B177" s="2" t="str">
        <x:v>2004</x:v>
      </x:c>
      <x:c r="C177" s="2" t="n">
        <x:v>16</x:v>
      </x:c>
      <x:c r="D177" s="14" t="n">
        <x:v>1.5721209227568183</x:v>
      </x:c>
      <x:c r="E177" s="14"/>
      <x:c r="F177" s="14"/>
      <x:c r="G177" s="14"/>
      <x:c r="H177" s="14"/>
      <x:c r="I177" s="2" t="str">
        <x:v>S011</x:v>
      </x:c>
    </x:row>
    <x:row r="178" ht="27" customHeight="1">
      <x:c r="A178" s="2" t="str">
        <x:v>ae_expanded_seed42</x:v>
      </x:c>
      <x:c r="B178" s="2" t="str">
        <x:v>2004</x:v>
      </x:c>
      <x:c r="C178" s="2" t="n">
        <x:v>17</x:v>
      </x:c>
      <x:c r="D178" s="14" t="n">
        <x:v>1.5667802256473948</x:v>
      </x:c>
      <x:c r="E178" s="14"/>
      <x:c r="F178" s="14"/>
      <x:c r="G178" s="14"/>
      <x:c r="H178" s="14"/>
      <x:c r="I178" s="2" t="str">
        <x:v>S011</x:v>
      </x:c>
    </x:row>
    <x:row r="179" ht="27" customHeight="1">
      <x:c r="A179" s="2" t="str">
        <x:v>ae_expanded_seed42</x:v>
      </x:c>
      <x:c r="B179" s="2" t="str">
        <x:v>2004</x:v>
      </x:c>
      <x:c r="C179" s="2" t="n">
        <x:v>18</x:v>
      </x:c>
      <x:c r="D179" s="14" t="n">
        <x:v>1.5275352010602299</x:v>
      </x:c>
      <x:c r="E179" s="14"/>
      <x:c r="F179" s="14"/>
      <x:c r="G179" s="14"/>
      <x:c r="H179" s="14"/>
      <x:c r="I179" s="2" t="str">
        <x:v>S011</x:v>
      </x:c>
    </x:row>
    <x:row r="180" ht="27" customHeight="1">
      <x:c r="A180" s="2" t="str">
        <x:v>ae_expanded_seed42</x:v>
      </x:c>
      <x:c r="B180" s="2" t="str">
        <x:v>2004</x:v>
      </x:c>
      <x:c r="C180" s="2" t="n">
        <x:v>19</x:v>
      </x:c>
      <x:c r="D180" s="14" t="n">
        <x:v>1.5164295930223701</x:v>
      </x:c>
      <x:c r="E180" s="14"/>
      <x:c r="F180" s="14"/>
      <x:c r="G180" s="14"/>
      <x:c r="H180" s="14"/>
      <x:c r="I180" s="2" t="str">
        <x:v>S011</x:v>
      </x:c>
    </x:row>
    <x:row r="181" ht="27" customHeight="1">
      <x:c r="A181" s="2" t="str">
        <x:v>ae_expanded_seed42</x:v>
      </x:c>
      <x:c r="B181" s="2" t="str">
        <x:v>2004</x:v>
      </x:c>
      <x:c r="C181" s="2" t="n">
        <x:v>20</x:v>
      </x:c>
      <x:c r="D181" s="14" t="n">
        <x:v>1.494248239474111</x:v>
      </x:c>
      <x:c r="E181" s="14"/>
      <x:c r="F181" s="14"/>
      <x:c r="G181" s="14" t="n">
        <x:v>0.1207160127432462</x:v>
      </x:c>
      <x:c r="H181" s="14"/>
      <x:c r="I181" s="2" t="str">
        <x:v>S011</x:v>
      </x:c>
    </x:row>
    <x:row r="182" ht="27" customHeight="1">
      <x:c r="A182" s="2" t="str">
        <x:v>ae_expanded_seed42</x:v>
      </x:c>
      <x:c r="B182" s="2" t="str">
        <x:v>2004</x:v>
      </x:c>
      <x:c r="C182" s="2" t="n">
        <x:v>21</x:v>
      </x:c>
      <x:c r="D182" s="14" t="n">
        <x:v>1.484157081029086</x:v>
      </x:c>
      <x:c r="E182" s="14"/>
      <x:c r="F182" s="14"/>
      <x:c r="G182" s="14"/>
      <x:c r="H182" s="14"/>
      <x:c r="I182" s="2" t="str">
        <x:v>S011</x:v>
      </x:c>
    </x:row>
    <x:row r="183" ht="27" customHeight="1">
      <x:c r="A183" s="2" t="str">
        <x:v>ae_expanded_seed42</x:v>
      </x:c>
      <x:c r="B183" s="2" t="str">
        <x:v>2004</x:v>
      </x:c>
      <x:c r="C183" s="2" t="n">
        <x:v>22</x:v>
      </x:c>
      <x:c r="D183" s="14" t="n">
        <x:v>1.4606057082782349</x:v>
      </x:c>
      <x:c r="E183" s="14"/>
      <x:c r="F183" s="14"/>
      <x:c r="G183" s="14"/>
      <x:c r="H183" s="14"/>
      <x:c r="I183" s="2" t="str">
        <x:v>S011</x:v>
      </x:c>
    </x:row>
    <x:row r="184" ht="27" customHeight="1">
      <x:c r="A184" s="2" t="str">
        <x:v>ae_expanded_seed42</x:v>
      </x:c>
      <x:c r="B184" s="2" t="str">
        <x:v>2004</x:v>
      </x:c>
      <x:c r="C184" s="2" t="n">
        <x:v>23</x:v>
      </x:c>
      <x:c r="D184" s="14" t="n">
        <x:v>1.453175450958415</x:v>
      </x:c>
      <x:c r="E184" s="14"/>
      <x:c r="F184" s="14"/>
      <x:c r="G184" s="14"/>
      <x:c r="H184" s="14"/>
      <x:c r="I184" s="2" t="str">
        <x:v>S011</x:v>
      </x:c>
    </x:row>
    <x:row r="185" ht="27" customHeight="1">
      <x:c r="A185" s="2" t="str">
        <x:v>ae_expanded_seed42</x:v>
      </x:c>
      <x:c r="B185" s="2" t="str">
        <x:v>2004</x:v>
      </x:c>
      <x:c r="C185" s="2" t="n">
        <x:v>24</x:v>
      </x:c>
      <x:c r="D185" s="14" t="n">
        <x:v>1.4429165768892733</x:v>
      </x:c>
      <x:c r="E185" s="14"/>
      <x:c r="F185" s="14"/>
      <x:c r="G185" s="14"/>
      <x:c r="H185" s="14"/>
      <x:c r="I185" s="2" t="str">
        <x:v>S011</x:v>
      </x:c>
    </x:row>
    <x:row r="186" ht="27" customHeight="1">
      <x:c r="A186" s="2" t="str">
        <x:v>ae_expanded_seed42</x:v>
      </x:c>
      <x:c r="B186" s="2" t="str">
        <x:v>2004</x:v>
      </x:c>
      <x:c r="C186" s="2" t="n">
        <x:v>25</x:v>
      </x:c>
      <x:c r="D186" s="14" t="n">
        <x:v>1.4209140393606103</x:v>
      </x:c>
      <x:c r="E186" s="14"/>
      <x:c r="F186" s="14"/>
      <x:c r="G186" s="14" t="n">
        <x:v>0.150811219895509</x:v>
      </x:c>
      <x:c r="H186" s="14"/>
      <x:c r="I186" s="2" t="str">
        <x:v>S011</x:v>
      </x:c>
    </x:row>
    <x:row r="187" ht="27" customHeight="1">
      <x:c r="A187" s="2" t="str">
        <x:v>ae_expanded_seed42</x:v>
      </x:c>
      <x:c r="B187" s="2" t="str">
        <x:v>2004</x:v>
      </x:c>
      <x:c r="C187" s="2" t="n">
        <x:v>26</x:v>
      </x:c>
      <x:c r="D187" s="14" t="n">
        <x:v>1.4057683238753045</x:v>
      </x:c>
      <x:c r="E187" s="14"/>
      <x:c r="F187" s="14"/>
      <x:c r="G187" s="14"/>
      <x:c r="H187" s="14"/>
      <x:c r="I187" s="2" t="str">
        <x:v>S011</x:v>
      </x:c>
    </x:row>
    <x:row r="188" ht="27" customHeight="1">
      <x:c r="A188" s="2" t="str">
        <x:v>ae_expanded_seed42</x:v>
      </x:c>
      <x:c r="B188" s="2" t="str">
        <x:v>2004</x:v>
      </x:c>
      <x:c r="C188" s="2" t="n">
        <x:v>27</x:v>
      </x:c>
      <x:c r="D188" s="14" t="n">
        <x:v>1.400660278713252</x:v>
      </x:c>
      <x:c r="E188" s="14"/>
      <x:c r="F188" s="14"/>
      <x:c r="G188" s="14"/>
      <x:c r="H188" s="14"/>
      <x:c r="I188" s="2" t="str">
        <x:v>S011</x:v>
      </x:c>
    </x:row>
    <x:row r="189" ht="27" customHeight="1">
      <x:c r="A189" s="2" t="str">
        <x:v>ae_expanded_seed42</x:v>
      </x:c>
      <x:c r="B189" s="2" t="str">
        <x:v>2004</x:v>
      </x:c>
      <x:c r="C189" s="2" t="n">
        <x:v>28</x:v>
      </x:c>
      <x:c r="D189" s="14" t="n">
        <x:v>1.3865114483924512</x:v>
      </x:c>
      <x:c r="E189" s="14"/>
      <x:c r="F189" s="14"/>
      <x:c r="G189" s="14"/>
      <x:c r="H189" s="14"/>
      <x:c r="I189" s="2" t="str">
        <x:v>S011</x:v>
      </x:c>
    </x:row>
    <x:row r="190" ht="27" customHeight="1">
      <x:c r="A190" s="2" t="str">
        <x:v>ae_expanded_seed42</x:v>
      </x:c>
      <x:c r="B190" s="2" t="str">
        <x:v>2004</x:v>
      </x:c>
      <x:c r="C190" s="2" t="n">
        <x:v>29</x:v>
      </x:c>
      <x:c r="D190" s="14" t="n">
        <x:v>1.3778849242778946</x:v>
      </x:c>
      <x:c r="E190" s="14"/>
      <x:c r="F190" s="14"/>
      <x:c r="G190" s="14"/>
      <x:c r="H190" s="14"/>
      <x:c r="I190" s="2" t="str">
        <x:v>S011</x:v>
      </x:c>
    </x:row>
    <x:row r="191" ht="27" customHeight="1">
      <x:c r="A191" s="2" t="str">
        <x:v>ae_expanded_seed42</x:v>
      </x:c>
      <x:c r="B191" s="2" t="str">
        <x:v>2004</x:v>
      </x:c>
      <x:c r="C191" s="2" t="n">
        <x:v>30</x:v>
      </x:c>
      <x:c r="D191" s="14" t="n">
        <x:v>1.3711344016010483</x:v>
      </x:c>
      <x:c r="E191" s="14"/>
      <x:c r="F191" s="14"/>
      <x:c r="G191" s="14" t="n">
        <x:v>0.1105472330868246</x:v>
      </x:c>
      <x:c r="H191" s="14"/>
      <x:c r="I191" s="2" t="str">
        <x:v>S011</x:v>
      </x:c>
    </x:row>
    <x:row r="192" ht="27" customHeight="1">
      <x:c r="A192" s="2" t="str">
        <x:v>ae_expanded_seed42</x:v>
      </x:c>
      <x:c r="B192" s="2" t="str">
        <x:v>2004</x:v>
      </x:c>
      <x:c r="C192" s="2" t="n">
        <x:v>31</x:v>
      </x:c>
      <x:c r="D192" s="14" t="n">
        <x:v>1.3427840559141142</x:v>
      </x:c>
      <x:c r="E192" s="14"/>
      <x:c r="F192" s="14"/>
      <x:c r="G192" s="14"/>
      <x:c r="H192" s="14"/>
      <x:c r="I192" s="2" t="str">
        <x:v>S011</x:v>
      </x:c>
    </x:row>
    <x:row r="193" ht="27" customHeight="1">
      <x:c r="A193" s="2" t="str">
        <x:v>ae_expanded_seed42</x:v>
      </x:c>
      <x:c r="B193" s="2" t="str">
        <x:v>2004</x:v>
      </x:c>
      <x:c r="C193" s="2" t="n">
        <x:v>32</x:v>
      </x:c>
      <x:c r="D193" s="14" t="n">
        <x:v>1.3480002487870935</x:v>
      </x:c>
      <x:c r="E193" s="14"/>
      <x:c r="F193" s="14"/>
      <x:c r="G193" s="14"/>
      <x:c r="H193" s="14"/>
      <x:c r="I193" s="2" t="str">
        <x:v>S011</x:v>
      </x:c>
    </x:row>
    <x:row r="194" ht="27" customHeight="1">
      <x:c r="A194" s="2" t="str">
        <x:v>ae_expanded_seed42</x:v>
      </x:c>
      <x:c r="B194" s="2" t="str">
        <x:v>2004</x:v>
      </x:c>
      <x:c r="C194" s="2" t="n">
        <x:v>33</x:v>
      </x:c>
      <x:c r="D194" s="14" t="n">
        <x:v>1.3431252486336436</x:v>
      </x:c>
      <x:c r="E194" s="14"/>
      <x:c r="F194" s="14"/>
      <x:c r="G194" s="14"/>
      <x:c r="H194" s="14"/>
      <x:c r="I194" s="2" t="str">
        <x:v>S011</x:v>
      </x:c>
    </x:row>
    <x:row r="195" ht="27" customHeight="1">
      <x:c r="A195" s="2" t="str">
        <x:v>ae_expanded_seed42</x:v>
      </x:c>
      <x:c r="B195" s="2" t="str">
        <x:v>2004</x:v>
      </x:c>
      <x:c r="C195" s="2" t="n">
        <x:v>34</x:v>
      </x:c>
      <x:c r="D195" s="14" t="n">
        <x:v>1.3286959534115925</x:v>
      </x:c>
      <x:c r="E195" s="14"/>
      <x:c r="F195" s="14"/>
      <x:c r="G195" s="14"/>
      <x:c r="H195" s="14"/>
      <x:c r="I195" s="2" t="str">
        <x:v>S011</x:v>
      </x:c>
    </x:row>
    <x:row r="196" ht="27" customHeight="1">
      <x:c r="A196" s="2" t="str">
        <x:v>ae_expanded_seed42</x:v>
      </x:c>
      <x:c r="B196" s="2" t="str">
        <x:v>2004</x:v>
      </x:c>
      <x:c r="C196" s="2" t="n">
        <x:v>35</x:v>
      </x:c>
      <x:c r="D196" s="14" t="n">
        <x:v>1.341211839273</x:v>
      </x:c>
      <x:c r="E196" s="14"/>
      <x:c r="F196" s="14"/>
      <x:c r="G196" s="14" t="n">
        <x:v>0.15077210658999313</x:v>
      </x:c>
      <x:c r="H196" s="14"/>
      <x:c r="I196" s="2" t="str">
        <x:v>S011</x:v>
      </x:c>
    </x:row>
    <x:row r="197" ht="27" customHeight="1">
      <x:c r="A197" s="2" t="str">
        <x:v>ae_expanded_seed42</x:v>
      </x:c>
      <x:c r="B197" s="2" t="str">
        <x:v>2004</x:v>
      </x:c>
      <x:c r="C197" s="2" t="n">
        <x:v>36</x:v>
      </x:c>
      <x:c r="D197" s="14" t="n">
        <x:v>1.3217812210297084</x:v>
      </x:c>
      <x:c r="E197" s="14"/>
      <x:c r="F197" s="14"/>
      <x:c r="G197" s="14"/>
      <x:c r="H197" s="14"/>
      <x:c r="I197" s="2" t="str">
        <x:v>S011</x:v>
      </x:c>
    </x:row>
    <x:row r="198" ht="27" customHeight="1">
      <x:c r="A198" s="2" t="str">
        <x:v>ae_expanded_seed42</x:v>
      </x:c>
      <x:c r="B198" s="2" t="str">
        <x:v>2004</x:v>
      </x:c>
      <x:c r="C198" s="2" t="n">
        <x:v>37</x:v>
      </x:c>
      <x:c r="D198" s="14" t="n">
        <x:v>1.3188210348082667</x:v>
      </x:c>
      <x:c r="E198" s="14"/>
      <x:c r="F198" s="14"/>
      <x:c r="G198" s="14"/>
      <x:c r="H198" s="14"/>
      <x:c r="I198" s="2" t="str">
        <x:v>S011</x:v>
      </x:c>
    </x:row>
    <x:row r="199" ht="27" customHeight="1">
      <x:c r="A199" s="2" t="str">
        <x:v>ae_expanded_seed42</x:v>
      </x:c>
      <x:c r="B199" s="2" t="str">
        <x:v>2004</x:v>
      </x:c>
      <x:c r="C199" s="2" t="n">
        <x:v>38</x:v>
      </x:c>
      <x:c r="D199" s="14" t="n">
        <x:v>1.332088676559935</x:v>
      </x:c>
      <x:c r="E199" s="14"/>
      <x:c r="F199" s="14"/>
      <x:c r="G199" s="14"/>
      <x:c r="H199" s="14"/>
      <x:c r="I199" s="2" t="str">
        <x:v>S011</x:v>
      </x:c>
    </x:row>
    <x:row r="200" ht="27" customHeight="1">
      <x:c r="A200" s="2" t="str">
        <x:v>ae_expanded_seed42</x:v>
      </x:c>
      <x:c r="B200" s="2" t="str">
        <x:v>2004</x:v>
      </x:c>
      <x:c r="C200" s="2" t="n">
        <x:v>39</x:v>
      </x:c>
      <x:c r="D200" s="14" t="n">
        <x:v>1.3173737757429258</x:v>
      </x:c>
      <x:c r="E200" s="14"/>
      <x:c r="F200" s="14"/>
      <x:c r="G200" s="14"/>
      <x:c r="H200" s="14"/>
      <x:c r="I200" s="2" t="str">
        <x:v>S011</x:v>
      </x:c>
    </x:row>
    <x:row r="201" ht="27" customHeight="1">
      <x:c r="A201" s="2" t="str">
        <x:v>ae_expanded_seed42</x:v>
      </x:c>
      <x:c r="B201" s="2" t="str">
        <x:v>2004</x:v>
      </x:c>
      <x:c r="C201" s="2" t="n">
        <x:v>40</x:v>
      </x:c>
      <x:c r="D201" s="14" t="n">
        <x:v>1.3185853514908576</x:v>
      </x:c>
      <x:c r="E201" s="14"/>
      <x:c r="F201" s="14"/>
      <x:c r="G201" s="14" t="n">
        <x:v>0.1508307763116554</x:v>
      </x:c>
      <x:c r="H201" s="14"/>
      <x:c r="I201" s="2" t="str">
        <x:v>S011</x:v>
      </x:c>
    </x:row>
    <x:row r="202" ht="27" customHeight="1">
      <x:c r="A202" s="2" t="str">
        <x:v>ae_expanded_seed42</x:v>
      </x:c>
      <x:c r="B202" s="2" t="str">
        <x:v>2005</x:v>
      </x:c>
      <x:c r="C202" s="2" t="n">
        <x:v>1</x:v>
      </x:c>
      <x:c r="D202" s="14" t="n">
        <x:v>4.361339939595611</x:v>
      </x:c>
      <x:c r="E202" s="14"/>
      <x:c r="F202" s="14"/>
      <x:c r="G202" s="14"/>
      <x:c r="H202" s="14"/>
      <x:c r="I202" s="2" t="str">
        <x:v>S012</x:v>
      </x:c>
    </x:row>
    <x:row r="203" ht="27" customHeight="1">
      <x:c r="A203" s="2" t="str">
        <x:v>ae_expanded_seed42</x:v>
      </x:c>
      <x:c r="B203" s="2" t="str">
        <x:v>2005</x:v>
      </x:c>
      <x:c r="C203" s="2" t="n">
        <x:v>2</x:v>
      </x:c>
      <x:c r="D203" s="14" t="n">
        <x:v>2.7581023981359447</x:v>
      </x:c>
      <x:c r="E203" s="14"/>
      <x:c r="F203" s="14"/>
      <x:c r="G203" s="14"/>
      <x:c r="H203" s="14"/>
      <x:c r="I203" s="2" t="str">
        <x:v>S012</x:v>
      </x:c>
    </x:row>
    <x:row r="204" ht="27" customHeight="1">
      <x:c r="A204" s="2" t="str">
        <x:v>ae_expanded_seed42</x:v>
      </x:c>
      <x:c r="B204" s="2" t="str">
        <x:v>2005</x:v>
      </x:c>
      <x:c r="C204" s="2" t="n">
        <x:v>3</x:v>
      </x:c>
      <x:c r="D204" s="14" t="n">
        <x:v>2.340802397070744</x:v>
      </x:c>
      <x:c r="E204" s="14"/>
      <x:c r="F204" s="14"/>
      <x:c r="G204" s="14"/>
      <x:c r="H204" s="14"/>
      <x:c r="I204" s="2" t="str">
        <x:v>S012</x:v>
      </x:c>
    </x:row>
    <x:row r="205" ht="27" customHeight="1">
      <x:c r="A205" s="2" t="str">
        <x:v>ae_expanded_seed42</x:v>
      </x:c>
      <x:c r="B205" s="2" t="str">
        <x:v>2005</x:v>
      </x:c>
      <x:c r="C205" s="2" t="n">
        <x:v>4</x:v>
      </x:c>
      <x:c r="D205" s="14" t="n">
        <x:v>2.131979277959589</x:v>
      </x:c>
      <x:c r="E205" s="14"/>
      <x:c r="F205" s="14"/>
      <x:c r="G205" s="14"/>
      <x:c r="H205" s="14"/>
      <x:c r="I205" s="2" t="str">
        <x:v>S012</x:v>
      </x:c>
    </x:row>
    <x:row r="206" ht="27" customHeight="1">
      <x:c r="A206" s="2" t="str">
        <x:v>ae_expanded_seed42</x:v>
      </x:c>
      <x:c r="B206" s="2" t="str">
        <x:v>2005</x:v>
      </x:c>
      <x:c r="C206" s="2" t="n">
        <x:v>5</x:v>
      </x:c>
      <x:c r="D206" s="14" t="n">
        <x:v>2.047520089617067</x:v>
      </x:c>
      <x:c r="E206" s="14"/>
      <x:c r="F206" s="14"/>
      <x:c r="G206" s="14" t="n">
        <x:v>0.8328804736937059</x:v>
      </x:c>
      <x:c r="H206" s="14"/>
      <x:c r="I206" s="2" t="str">
        <x:v>S012</x:v>
      </x:c>
    </x:row>
    <x:row r="207" ht="27" customHeight="1">
      <x:c r="A207" s="2" t="str">
        <x:v>ae_expanded_seed42</x:v>
      </x:c>
      <x:c r="B207" s="2" t="str">
        <x:v>2005</x:v>
      </x:c>
      <x:c r="C207" s="2" t="n">
        <x:v>6</x:v>
      </x:c>
      <x:c r="D207" s="14" t="n">
        <x:v>1.930640253297258</x:v>
      </x:c>
      <x:c r="E207" s="14"/>
      <x:c r="F207" s="14"/>
      <x:c r="G207" s="14"/>
      <x:c r="H207" s="14"/>
      <x:c r="I207" s="2" t="str">
        <x:v>S012</x:v>
      </x:c>
    </x:row>
    <x:row r="208" ht="27" customHeight="1">
      <x:c r="A208" s="2" t="str">
        <x:v>ae_expanded_seed42</x:v>
      </x:c>
      <x:c r="B208" s="2" t="str">
        <x:v>2005</x:v>
      </x:c>
      <x:c r="C208" s="2" t="n">
        <x:v>7</x:v>
      </x:c>
      <x:c r="D208" s="14" t="n">
        <x:v>1.851646933160171</x:v>
      </x:c>
      <x:c r="E208" s="14"/>
      <x:c r="F208" s="14"/>
      <x:c r="G208" s="14"/>
      <x:c r="H208" s="14"/>
      <x:c r="I208" s="2" t="str">
        <x:v>S012</x:v>
      </x:c>
    </x:row>
    <x:row r="209" ht="27" customHeight="1">
      <x:c r="A209" s="2" t="str">
        <x:v>ae_expanded_seed42</x:v>
      </x:c>
      <x:c r="B209" s="2" t="str">
        <x:v>2005</x:v>
      </x:c>
      <x:c r="C209" s="2" t="n">
        <x:v>8</x:v>
      </x:c>
      <x:c r="D209" s="14" t="n">
        <x:v>1.8152065744615438</x:v>
      </x:c>
      <x:c r="E209" s="14"/>
      <x:c r="F209" s="14"/>
      <x:c r="G209" s="14"/>
      <x:c r="H209" s="14"/>
      <x:c r="I209" s="2" t="str">
        <x:v>S012</x:v>
      </x:c>
    </x:row>
    <x:row r="210" ht="27" customHeight="1">
      <x:c r="A210" s="2" t="str">
        <x:v>ae_expanded_seed42</x:v>
      </x:c>
      <x:c r="B210" s="2" t="str">
        <x:v>2005</x:v>
      </x:c>
      <x:c r="C210" s="2" t="n">
        <x:v>9</x:v>
      </x:c>
      <x:c r="D210" s="14" t="n">
        <x:v>1.7463892466398894</x:v>
      </x:c>
      <x:c r="E210" s="14"/>
      <x:c r="F210" s="14"/>
      <x:c r="G210" s="14"/>
      <x:c r="H210" s="14"/>
      <x:c r="I210" s="2" t="str">
        <x:v>S012</x:v>
      </x:c>
    </x:row>
    <x:row r="211" ht="27" customHeight="1">
      <x:c r="A211" s="2" t="str">
        <x:v>ae_expanded_seed42</x:v>
      </x:c>
      <x:c r="B211" s="2" t="str">
        <x:v>2005</x:v>
      </x:c>
      <x:c r="C211" s="2" t="n">
        <x:v>10</x:v>
      </x:c>
      <x:c r="D211" s="14" t="n">
        <x:v>1.6988643165329762</x:v>
      </x:c>
      <x:c r="E211" s="14"/>
      <x:c r="F211" s="14"/>
      <x:c r="G211" s="14" t="n">
        <x:v>0.8328804736937059</x:v>
      </x:c>
      <x:c r="H211" s="14"/>
      <x:c r="I211" s="2" t="str">
        <x:v>S012</x:v>
      </x:c>
    </x:row>
    <x:row r="212" ht="27" customHeight="1">
      <x:c r="A212" s="2" t="str">
        <x:v>ae_expanded_seed42</x:v>
      </x:c>
      <x:c r="B212" s="2" t="str">
        <x:v>2005</x:v>
      </x:c>
      <x:c r="C212" s="2" t="n">
        <x:v>11</x:v>
      </x:c>
      <x:c r="D212" s="14" t="n">
        <x:v>1.6823834750638278</x:v>
      </x:c>
      <x:c r="E212" s="14"/>
      <x:c r="F212" s="14"/>
      <x:c r="G212" s="14"/>
      <x:c r="H212" s="14"/>
      <x:c r="I212" s="2" t="str">
        <x:v>S012</x:v>
      </x:c>
    </x:row>
    <x:row r="213" ht="27" customHeight="1">
      <x:c r="A213" s="2" t="str">
        <x:v>ae_expanded_seed42</x:v>
      </x:c>
      <x:c r="B213" s="2" t="str">
        <x:v>2005</x:v>
      </x:c>
      <x:c r="C213" s="2" t="n">
        <x:v>12</x:v>
      </x:c>
      <x:c r="D213" s="14" t="n">
        <x:v>1.634786357690771</x:v>
      </x:c>
      <x:c r="E213" s="14"/>
      <x:c r="F213" s="14"/>
      <x:c r="G213" s="14"/>
      <x:c r="H213" s="14"/>
      <x:c r="I213" s="2" t="str">
        <x:v>S012</x:v>
      </x:c>
    </x:row>
    <x:row r="214" ht="27" customHeight="1">
      <x:c r="A214" s="2" t="str">
        <x:v>ae_expanded_seed42</x:v>
      </x:c>
      <x:c r="B214" s="2" t="str">
        <x:v>2005</x:v>
      </x:c>
      <x:c r="C214" s="2" t="n">
        <x:v>13</x:v>
      </x:c>
      <x:c r="D214" s="14" t="n">
        <x:v>1.6169798904393438</x:v>
      </x:c>
      <x:c r="E214" s="14"/>
      <x:c r="F214" s="14"/>
      <x:c r="G214" s="14"/>
      <x:c r="H214" s="14"/>
      <x:c r="I214" s="2" t="str">
        <x:v>S012</x:v>
      </x:c>
    </x:row>
    <x:row r="215" ht="27" customHeight="1">
      <x:c r="A215" s="2" t="str">
        <x:v>ae_expanded_seed42</x:v>
      </x:c>
      <x:c r="B215" s="2" t="str">
        <x:v>2005</x:v>
      </x:c>
      <x:c r="C215" s="2" t="n">
        <x:v>14</x:v>
      </x:c>
      <x:c r="D215" s="14" t="n">
        <x:v>1.5913745179974517</x:v>
      </x:c>
      <x:c r="E215" s="14"/>
      <x:c r="F215" s="14"/>
      <x:c r="G215" s="14"/>
      <x:c r="H215" s="14"/>
      <x:c r="I215" s="2" t="str">
        <x:v>S012</x:v>
      </x:c>
    </x:row>
    <x:row r="216" ht="27" customHeight="1">
      <x:c r="A216" s="2" t="str">
        <x:v>ae_expanded_seed42</x:v>
      </x:c>
      <x:c r="B216" s="2" t="str">
        <x:v>2005</x:v>
      </x:c>
      <x:c r="C216" s="2" t="n">
        <x:v>15</x:v>
      </x:c>
      <x:c r="D216" s="14" t="n">
        <x:v>1.5612508976264228</x:v>
      </x:c>
      <x:c r="E216" s="14"/>
      <x:c r="F216" s="14"/>
      <x:c r="G216" s="14" t="n">
        <x:v>0.8328804736937059</x:v>
      </x:c>
      <x:c r="H216" s="14"/>
      <x:c r="I216" s="2" t="str">
        <x:v>S012</x:v>
      </x:c>
    </x:row>
    <x:row r="217" ht="27" customHeight="1">
      <x:c r="A217" s="2" t="str">
        <x:v>ae_expanded_seed42</x:v>
      </x:c>
      <x:c r="B217" s="2" t="str">
        <x:v>2005</x:v>
      </x:c>
      <x:c r="C217" s="2" t="n">
        <x:v>16</x:v>
      </x:c>
      <x:c r="D217" s="14" t="n">
        <x:v>1.5283949396815908</x:v>
      </x:c>
      <x:c r="E217" s="14"/>
      <x:c r="F217" s="14"/>
      <x:c r="G217" s="14"/>
      <x:c r="H217" s="14"/>
      <x:c r="I217" s="2" t="str">
        <x:v>S012</x:v>
      </x:c>
    </x:row>
    <x:row r="218" ht="27" customHeight="1">
      <x:c r="A218" s="2" t="str">
        <x:v>ae_expanded_seed42</x:v>
      </x:c>
      <x:c r="B218" s="2" t="str">
        <x:v>2005</x:v>
      </x:c>
      <x:c r="C218" s="2" t="n">
        <x:v>17</x:v>
      </x:c>
      <x:c r="D218" s="14" t="n">
        <x:v>1.540373200890595</x:v>
      </x:c>
      <x:c r="E218" s="14"/>
      <x:c r="F218" s="14"/>
      <x:c r="G218" s="14"/>
      <x:c r="H218" s="14"/>
      <x:c r="I218" s="2" t="str">
        <x:v>S012</x:v>
      </x:c>
    </x:row>
    <x:row r="219" ht="27" customHeight="1">
      <x:c r="A219" s="2" t="str">
        <x:v>ae_expanded_seed42</x:v>
      </x:c>
      <x:c r="B219" s="2" t="str">
        <x:v>2005</x:v>
      </x:c>
      <x:c r="C219" s="2" t="n">
        <x:v>18</x:v>
      </x:c>
      <x:c r="D219" s="14" t="n">
        <x:v>1.4963481863700798</x:v>
      </x:c>
      <x:c r="E219" s="14"/>
      <x:c r="F219" s="14"/>
      <x:c r="G219" s="14"/>
      <x:c r="H219" s="14"/>
      <x:c r="I219" s="2" t="str">
        <x:v>S012</x:v>
      </x:c>
    </x:row>
    <x:row r="220" ht="27" customHeight="1">
      <x:c r="A220" s="2" t="str">
        <x:v>ae_expanded_seed42</x:v>
      </x:c>
      <x:c r="B220" s="2" t="str">
        <x:v>2005</x:v>
      </x:c>
      <x:c r="C220" s="2" t="n">
        <x:v>19</x:v>
      </x:c>
      <x:c r="D220" s="14" t="n">
        <x:v>1.4833274466136486</x:v>
      </x:c>
      <x:c r="E220" s="14"/>
      <x:c r="F220" s="14"/>
      <x:c r="G220" s="14"/>
      <x:c r="H220" s="14"/>
      <x:c r="I220" s="2" t="str">
        <x:v>S012</x:v>
      </x:c>
    </x:row>
    <x:row r="221" ht="27" customHeight="1">
      <x:c r="A221" s="2" t="str">
        <x:v>ae_expanded_seed42</x:v>
      </x:c>
      <x:c r="B221" s="2" t="str">
        <x:v>2005</x:v>
      </x:c>
      <x:c r="C221" s="2" t="n">
        <x:v>20</x:v>
      </x:c>
      <x:c r="D221" s="14" t="n">
        <x:v>1.455822293215894</x:v>
      </x:c>
      <x:c r="E221" s="14"/>
      <x:c r="F221" s="14"/>
      <x:c r="G221" s="14" t="n">
        <x:v>0.8328804736937059</x:v>
      </x:c>
      <x:c r="H221" s="14"/>
      <x:c r="I221" s="2" t="str">
        <x:v>S012</x:v>
      </x:c>
    </x:row>
    <x:row r="222" ht="27" customHeight="1">
      <x:c r="A222" s="2" t="str">
        <x:v>ae_expanded_seed42</x:v>
      </x:c>
      <x:c r="B222" s="2" t="str">
        <x:v>2005</x:v>
      </x:c>
      <x:c r="C222" s="2" t="n">
        <x:v>21</x:v>
      </x:c>
      <x:c r="D222" s="14" t="n">
        <x:v>1.4485956378870375</x:v>
      </x:c>
      <x:c r="E222" s="14"/>
      <x:c r="F222" s="14"/>
      <x:c r="G222" s="14"/>
      <x:c r="H222" s="14"/>
      <x:c r="I222" s="2" t="str">
        <x:v>S012</x:v>
      </x:c>
    </x:row>
    <x:row r="223" ht="27" customHeight="1">
      <x:c r="A223" s="2" t="str">
        <x:v>ae_expanded_seed42</x:v>
      </x:c>
      <x:c r="B223" s="2" t="str">
        <x:v>2005</x:v>
      </x:c>
      <x:c r="C223" s="2" t="n">
        <x:v>22</x:v>
      </x:c>
      <x:c r="D223" s="14" t="n">
        <x:v>1.4471621305772586</x:v>
      </x:c>
      <x:c r="E223" s="14"/>
      <x:c r="F223" s="14"/>
      <x:c r="G223" s="14"/>
      <x:c r="H223" s="14"/>
      <x:c r="I223" s="2" t="str">
        <x:v>S012</x:v>
      </x:c>
    </x:row>
    <x:row r="224" ht="27" customHeight="1">
      <x:c r="A224" s="2" t="str">
        <x:v>ae_expanded_seed42</x:v>
      </x:c>
      <x:c r="B224" s="2" t="str">
        <x:v>2005</x:v>
      </x:c>
      <x:c r="C224" s="2" t="n">
        <x:v>23</x:v>
      </x:c>
      <x:c r="D224" s="14" t="n">
        <x:v>1.41045706086614</x:v>
      </x:c>
      <x:c r="E224" s="14"/>
      <x:c r="F224" s="14"/>
      <x:c r="G224" s="14"/>
      <x:c r="H224" s="14"/>
      <x:c r="I224" s="2" t="str">
        <x:v>S012</x:v>
      </x:c>
    </x:row>
    <x:row r="225" ht="27" customHeight="1">
      <x:c r="A225" s="2" t="str">
        <x:v>ae_expanded_seed42</x:v>
      </x:c>
      <x:c r="B225" s="2" t="str">
        <x:v>2005</x:v>
      </x:c>
      <x:c r="C225" s="2" t="n">
        <x:v>24</x:v>
      </x:c>
      <x:c r="D225" s="14" t="n">
        <x:v>1.4007241826343328</x:v>
      </x:c>
      <x:c r="E225" s="14"/>
      <x:c r="F225" s="14"/>
      <x:c r="G225" s="14"/>
      <x:c r="H225" s="14"/>
      <x:c r="I225" s="2" t="str">
        <x:v>S012</x:v>
      </x:c>
    </x:row>
    <x:row r="226" ht="27" customHeight="1">
      <x:c r="A226" s="2" t="str">
        <x:v>ae_expanded_seed42</x:v>
      </x:c>
      <x:c r="B226" s="2" t="str">
        <x:v>2005</x:v>
      </x:c>
      <x:c r="C226" s="2" t="n">
        <x:v>25</x:v>
      </x:c>
      <x:c r="D226" s="14" t="n">
        <x:v>1.3903533785024933</x:v>
      </x:c>
      <x:c r="E226" s="14"/>
      <x:c r="F226" s="14"/>
      <x:c r="G226" s="14" t="n">
        <x:v>0.8328804736937059</x:v>
      </x:c>
      <x:c r="H226" s="14"/>
      <x:c r="I226" s="2" t="str">
        <x:v>S012</x:v>
      </x:c>
    </x:row>
    <x:row r="227" ht="27" customHeight="1">
      <x:c r="A227" s="2" t="str">
        <x:v>ae_expanded_seed42</x:v>
      </x:c>
      <x:c r="B227" s="2" t="str">
        <x:v>2005</x:v>
      </x:c>
      <x:c r="C227" s="2" t="n">
        <x:v>26</x:v>
      </x:c>
      <x:c r="D227" s="14" t="n">
        <x:v>1.3845654637582594</x:v>
      </x:c>
      <x:c r="E227" s="14"/>
      <x:c r="F227" s="14"/>
      <x:c r="G227" s="14"/>
      <x:c r="H227" s="14"/>
      <x:c r="I227" s="2" t="str">
        <x:v>S012</x:v>
      </x:c>
    </x:row>
    <x:row r="228" ht="27" customHeight="1">
      <x:c r="A228" s="2" t="str">
        <x:v>ae_expanded_seed42</x:v>
      </x:c>
      <x:c r="B228" s="2" t="str">
        <x:v>2005</x:v>
      </x:c>
      <x:c r="C228" s="2" t="n">
        <x:v>27</x:v>
      </x:c>
      <x:c r="D228" s="14" t="n">
        <x:v>1.370157252935183</x:v>
      </x:c>
      <x:c r="E228" s="14"/>
      <x:c r="F228" s="14"/>
      <x:c r="G228" s="14"/>
      <x:c r="H228" s="14"/>
      <x:c r="I228" s="2" t="str">
        <x:v>S012</x:v>
      </x:c>
    </x:row>
    <x:row r="229" ht="27" customHeight="1">
      <x:c r="A229" s="2" t="str">
        <x:v>ae_expanded_seed42</x:v>
      </x:c>
      <x:c r="B229" s="2" t="str">
        <x:v>2005</x:v>
      </x:c>
      <x:c r="C229" s="2" t="n">
        <x:v>28</x:v>
      </x:c>
      <x:c r="D229" s="14" t="n">
        <x:v>1.3592516541755624</x:v>
      </x:c>
      <x:c r="E229" s="14"/>
      <x:c r="F229" s="14"/>
      <x:c r="G229" s="14"/>
      <x:c r="H229" s="14"/>
      <x:c r="I229" s="2" t="str">
        <x:v>S012</x:v>
      </x:c>
    </x:row>
    <x:row r="230" ht="27" customHeight="1">
      <x:c r="A230" s="2" t="str">
        <x:v>ae_expanded_seed42</x:v>
      </x:c>
      <x:c r="B230" s="2" t="str">
        <x:v>2005</x:v>
      </x:c>
      <x:c r="C230" s="2" t="n">
        <x:v>29</x:v>
      </x:c>
      <x:c r="D230" s="14" t="n">
        <x:v>1.3469914348802208</x:v>
      </x:c>
      <x:c r="E230" s="14"/>
      <x:c r="F230" s="14"/>
      <x:c r="G230" s="14"/>
      <x:c r="H230" s="14"/>
      <x:c r="I230" s="2" t="str">
        <x:v>S012</x:v>
      </x:c>
    </x:row>
    <x:row r="231" ht="27" customHeight="1">
      <x:c r="A231" s="2" t="str">
        <x:v>ae_expanded_seed42</x:v>
      </x:c>
      <x:c r="B231" s="2" t="str">
        <x:v>2005</x:v>
      </x:c>
      <x:c r="C231" s="2" t="n">
        <x:v>30</x:v>
      </x:c>
      <x:c r="D231" s="14" t="n">
        <x:v>1.3338654057328005</x:v>
      </x:c>
      <x:c r="E231" s="14"/>
      <x:c r="F231" s="14"/>
      <x:c r="G231" s="14" t="n">
        <x:v>0.8328804736937059</x:v>
      </x:c>
      <x:c r="H231" s="14"/>
      <x:c r="I231" s="2" t="str">
        <x:v>S012</x:v>
      </x:c>
    </x:row>
    <x:row r="232" ht="27" customHeight="1">
      <x:c r="A232" s="2" t="str">
        <x:v>ae_expanded_seed42</x:v>
      </x:c>
      <x:c r="B232" s="2" t="str">
        <x:v>2005</x:v>
      </x:c>
      <x:c r="C232" s="2" t="n">
        <x:v>31</x:v>
      </x:c>
      <x:c r="D232" s="14" t="n">
        <x:v>1.3279625897993967</x:v>
      </x:c>
      <x:c r="E232" s="14"/>
      <x:c r="F232" s="14"/>
      <x:c r="G232" s="14"/>
      <x:c r="H232" s="14"/>
      <x:c r="I232" s="2" t="str">
        <x:v>S012</x:v>
      </x:c>
    </x:row>
    <x:row r="233" ht="27" customHeight="1">
      <x:c r="A233" s="2" t="str">
        <x:v>ae_expanded_seed42</x:v>
      </x:c>
      <x:c r="B233" s="2" t="str">
        <x:v>2005</x:v>
      </x:c>
      <x:c r="C233" s="2" t="n">
        <x:v>32</x:v>
      </x:c>
      <x:c r="D233" s="14" t="n">
        <x:v>1.3171694697604814</x:v>
      </x:c>
      <x:c r="E233" s="14"/>
      <x:c r="F233" s="14"/>
      <x:c r="G233" s="14"/>
      <x:c r="H233" s="14"/>
      <x:c r="I233" s="2" t="str">
        <x:v>S012</x:v>
      </x:c>
    </x:row>
    <x:row r="234" ht="27" customHeight="1">
      <x:c r="A234" s="2" t="str">
        <x:v>ae_expanded_seed42</x:v>
      </x:c>
      <x:c r="B234" s="2" t="str">
        <x:v>2005</x:v>
      </x:c>
      <x:c r="C234" s="2" t="n">
        <x:v>33</x:v>
      </x:c>
      <x:c r="D234" s="14" t="n">
        <x:v>1.316187537682157</x:v>
      </x:c>
      <x:c r="E234" s="14"/>
      <x:c r="F234" s="14"/>
      <x:c r="G234" s="14"/>
      <x:c r="H234" s="14"/>
      <x:c r="I234" s="2" t="str">
        <x:v>S012</x:v>
      </x:c>
    </x:row>
    <x:row r="235" ht="27" customHeight="1">
      <x:c r="A235" s="2" t="str">
        <x:v>ae_expanded_seed42</x:v>
      </x:c>
      <x:c r="B235" s="2" t="str">
        <x:v>2005</x:v>
      </x:c>
      <x:c r="C235" s="2" t="n">
        <x:v>34</x:v>
      </x:c>
      <x:c r="D235" s="14" t="n">
        <x:v>1.3202175706594472</x:v>
      </x:c>
      <x:c r="E235" s="14"/>
      <x:c r="F235" s="14"/>
      <x:c r="G235" s="14"/>
      <x:c r="H235" s="14"/>
      <x:c r="I235" s="2" t="str">
        <x:v>S012</x:v>
      </x:c>
    </x:row>
    <x:row r="236" ht="27" customHeight="1">
      <x:c r="A236" s="2" t="str">
        <x:v>ae_expanded_seed42</x:v>
      </x:c>
      <x:c r="B236" s="2" t="str">
        <x:v>2005</x:v>
      </x:c>
      <x:c r="C236" s="2" t="n">
        <x:v>35</x:v>
      </x:c>
      <x:c r="D236" s="14" t="n">
        <x:v>1.293083092754138</x:v>
      </x:c>
      <x:c r="E236" s="14"/>
      <x:c r="F236" s="14"/>
      <x:c r="G236" s="14" t="n">
        <x:v>0.8328804736937059</x:v>
      </x:c>
      <x:c r="H236" s="14"/>
      <x:c r="I236" s="2" t="str">
        <x:v>S012</x:v>
      </x:c>
    </x:row>
    <x:row r="237" ht="27" customHeight="1">
      <x:c r="A237" s="2" t="str">
        <x:v>ae_expanded_seed42</x:v>
      </x:c>
      <x:c r="B237" s="2" t="str">
        <x:v>2005</x:v>
      </x:c>
      <x:c r="C237" s="2" t="n">
        <x:v>36</x:v>
      </x:c>
      <x:c r="D237" s="14" t="n">
        <x:v>1.299157245139469</x:v>
      </x:c>
      <x:c r="E237" s="14"/>
      <x:c r="F237" s="14"/>
      <x:c r="G237" s="14"/>
      <x:c r="H237" s="14"/>
      <x:c r="I237" s="2" t="str">
        <x:v>S012</x:v>
      </x:c>
    </x:row>
    <x:row r="238" ht="27" customHeight="1">
      <x:c r="A238" s="2" t="str">
        <x:v>ae_expanded_seed42</x:v>
      </x:c>
      <x:c r="B238" s="2" t="str">
        <x:v>2005</x:v>
      </x:c>
      <x:c r="C238" s="2" t="n">
        <x:v>37</x:v>
      </x:c>
      <x:c r="D238" s="14" t="n">
        <x:v>1.29132000304852</x:v>
      </x:c>
      <x:c r="E238" s="14"/>
      <x:c r="F238" s="14"/>
      <x:c r="G238" s="14"/>
      <x:c r="H238" s="14"/>
      <x:c r="I238" s="2" t="str">
        <x:v>S012</x:v>
      </x:c>
    </x:row>
    <x:row r="239" ht="27" customHeight="1">
      <x:c r="A239" s="2" t="str">
        <x:v>ae_expanded_seed42</x:v>
      </x:c>
      <x:c r="B239" s="2" t="str">
        <x:v>2005</x:v>
      </x:c>
      <x:c r="C239" s="2" t="n">
        <x:v>38</x:v>
      </x:c>
      <x:c r="D239" s="14" t="n">
        <x:v>1.307059024582899</x:v>
      </x:c>
      <x:c r="E239" s="14"/>
      <x:c r="F239" s="14"/>
      <x:c r="G239" s="14"/>
      <x:c r="H239" s="14"/>
      <x:c r="I239" s="2" t="str">
        <x:v>S012</x:v>
      </x:c>
    </x:row>
    <x:row r="240" ht="27" customHeight="1">
      <x:c r="A240" s="2" t="str">
        <x:v>ae_expanded_seed42</x:v>
      </x:c>
      <x:c r="B240" s="2" t="str">
        <x:v>2005</x:v>
      </x:c>
      <x:c r="C240" s="2" t="n">
        <x:v>39</x:v>
      </x:c>
      <x:c r="D240" s="14" t="n">
        <x:v>1.2972885542569454</x:v>
      </x:c>
      <x:c r="E240" s="14"/>
      <x:c r="F240" s="14"/>
      <x:c r="G240" s="14"/>
      <x:c r="H240" s="14"/>
      <x:c r="I240" s="2" t="str">
        <x:v>S012</x:v>
      </x:c>
    </x:row>
    <x:row r="241" ht="27" customHeight="1">
      <x:c r="A241" s="2" t="str">
        <x:v>ae_expanded_seed42</x:v>
      </x:c>
      <x:c r="B241" s="2" t="str">
        <x:v>2005</x:v>
      </x:c>
      <x:c r="C241" s="2" t="n">
        <x:v>40</x:v>
      </x:c>
      <x:c r="D241" s="14" t="n">
        <x:v>1.3017954188927012</x:v>
      </x:c>
      <x:c r="E241" s="14"/>
      <x:c r="F241" s="14"/>
      <x:c r="G241" s="14" t="n">
        <x:v>0.8328804736937059</x:v>
      </x:c>
      <x:c r="H241" s="14"/>
      <x:c r="I241" s="2" t="str">
        <x:v>S012</x:v>
      </x:c>
    </x:row>
    <x:row r="242" ht="27" customHeight="1">
      <x:c r="A242" s="2" t="str">
        <x:v>ae_reconstruction_seed42</x:v>
      </x:c>
      <x:c r="B242" s="2" t="str">
        <x:v>2003</x:v>
      </x:c>
      <x:c r="C242" s="2" t="n">
        <x:v>1</x:v>
      </x:c>
      <x:c r="D242" s="14" t="n">
        <x:v>0.018128611945048508</x:v>
      </x:c>
      <x:c r="E242" s="14"/>
      <x:c r="F242" s="14"/>
      <x:c r="G242" s="14"/>
      <x:c r="H242" s="14"/>
      <x:c r="I242" s="2" t="str">
        <x:v>S015</x:v>
      </x:c>
    </x:row>
    <x:row r="243" ht="27" customHeight="1">
      <x:c r="A243" s="2" t="str">
        <x:v>ae_reconstruction_seed42</x:v>
      </x:c>
      <x:c r="B243" s="2" t="str">
        <x:v>2003</x:v>
      </x:c>
      <x:c r="C243" s="2" t="n">
        <x:v>2</x:v>
      </x:c>
      <x:c r="D243" s="14" t="n">
        <x:v>0.0010735362523076023</x:v>
      </x:c>
      <x:c r="E243" s="14"/>
      <x:c r="F243" s="14"/>
      <x:c r="G243" s="14"/>
      <x:c r="H243" s="14"/>
      <x:c r="I243" s="2" t="str">
        <x:v>S015</x:v>
      </x:c>
    </x:row>
    <x:row r="244" ht="27" customHeight="1">
      <x:c r="A244" s="2" t="str">
        <x:v>ae_reconstruction_seed42</x:v>
      </x:c>
      <x:c r="B244" s="2" t="str">
        <x:v>2003</x:v>
      </x:c>
      <x:c r="C244" s="2" t="n">
        <x:v>3</x:v>
      </x:c>
      <x:c r="D244" s="14" t="n">
        <x:v>0.0002867826563038287</x:v>
      </x:c>
      <x:c r="E244" s="14"/>
      <x:c r="F244" s="14"/>
      <x:c r="G244" s="14"/>
      <x:c r="H244" s="14"/>
      <x:c r="I244" s="2" t="str">
        <x:v>S015</x:v>
      </x:c>
    </x:row>
    <x:row r="245" ht="27" customHeight="1">
      <x:c r="A245" s="2" t="str">
        <x:v>ae_reconstruction_seed42</x:v>
      </x:c>
      <x:c r="B245" s="2" t="str">
        <x:v>2003</x:v>
      </x:c>
      <x:c r="C245" s="2" t="n">
        <x:v>4</x:v>
      </x:c>
      <x:c r="D245" s="14" t="n">
        <x:v>0.00009102235636120916</x:v>
      </x:c>
      <x:c r="E245" s="14"/>
      <x:c r="F245" s="14"/>
      <x:c r="G245" s="14"/>
      <x:c r="H245" s="14"/>
      <x:c r="I245" s="2" t="str">
        <x:v>S015</x:v>
      </x:c>
    </x:row>
    <x:row r="246" ht="27" customHeight="1">
      <x:c r="A246" s="2" t="str">
        <x:v>ae_reconstruction_seed42</x:v>
      </x:c>
      <x:c r="B246" s="2" t="str">
        <x:v>2003</x:v>
      </x:c>
      <x:c r="C246" s="2" t="n">
        <x:v>5</x:v>
      </x:c>
      <x:c r="D246" s="14" t="n">
        <x:v>0.00003291138081998322</x:v>
      </x:c>
      <x:c r="E246" s="14"/>
      <x:c r="F246" s="14"/>
      <x:c r="G246" s="14" t="n">
        <x:v>0.4544056803783998</x:v>
      </x:c>
      <x:c r="H246" s="14"/>
      <x:c r="I246" s="2" t="str">
        <x:v>S015</x:v>
      </x:c>
    </x:row>
    <x:row r="247" ht="27" customHeight="1">
      <x:c r="A247" s="2" t="str">
        <x:v>ae_reconstruction_seed42</x:v>
      </x:c>
      <x:c r="B247" s="2" t="str">
        <x:v>2003</x:v>
      </x:c>
      <x:c r="C247" s="2" t="n">
        <x:v>6</x:v>
      </x:c>
      <x:c r="D247" s="14" t="n">
        <x:v>0.000014772271335700158</x:v>
      </x:c>
      <x:c r="E247" s="14"/>
      <x:c r="F247" s="14"/>
      <x:c r="G247" s="14"/>
      <x:c r="H247" s="14"/>
      <x:c r="I247" s="2" t="str">
        <x:v>S015</x:v>
      </x:c>
    </x:row>
    <x:row r="248" ht="27" customHeight="1">
      <x:c r="A248" s="2" t="str">
        <x:v>ae_reconstruction_seed42</x:v>
      </x:c>
      <x:c r="B248" s="2" t="str">
        <x:v>2003</x:v>
      </x:c>
      <x:c r="C248" s="2" t="n">
        <x:v>7</x:v>
      </x:c>
      <x:c r="D248" s="14" t="n">
        <x:v>0.000008129312968068971</x:v>
      </x:c>
      <x:c r="E248" s="14"/>
      <x:c r="F248" s="14"/>
      <x:c r="G248" s="14"/>
      <x:c r="H248" s="14"/>
      <x:c r="I248" s="2" t="str">
        <x:v>S015</x:v>
      </x:c>
    </x:row>
    <x:row r="249" ht="27" customHeight="1">
      <x:c r="A249" s="2" t="str">
        <x:v>ae_reconstruction_seed42</x:v>
      </x:c>
      <x:c r="B249" s="2" t="str">
        <x:v>2003</x:v>
      </x:c>
      <x:c r="C249" s="2" t="n">
        <x:v>8</x:v>
      </x:c>
      <x:c r="D249" s="14" t="n">
        <x:v>0.000005233908806854168</x:v>
      </x:c>
      <x:c r="E249" s="14"/>
      <x:c r="F249" s="14"/>
      <x:c r="G249" s="14"/>
      <x:c r="H249" s="14"/>
      <x:c r="I249" s="2" t="str">
        <x:v>S015</x:v>
      </x:c>
    </x:row>
    <x:row r="250" ht="27" customHeight="1">
      <x:c r="A250" s="2" t="str">
        <x:v>ae_reconstruction_seed42</x:v>
      </x:c>
      <x:c r="B250" s="2" t="str">
        <x:v>2003</x:v>
      </x:c>
      <x:c r="C250" s="2" t="n">
        <x:v>9</x:v>
      </x:c>
      <x:c r="D250" s="14" t="n">
        <x:v>0.00000376635271741518</x:v>
      </x:c>
      <x:c r="E250" s="14"/>
      <x:c r="F250" s="14"/>
      <x:c r="G250" s="14"/>
      <x:c r="H250" s="14"/>
      <x:c r="I250" s="2" t="str">
        <x:v>S015</x:v>
      </x:c>
    </x:row>
    <x:row r="251" ht="27" customHeight="1">
      <x:c r="A251" s="2" t="str">
        <x:v>ae_reconstruction_seed42</x:v>
      </x:c>
      <x:c r="B251" s="2" t="str">
        <x:v>2003</x:v>
      </x:c>
      <x:c r="C251" s="2" t="n">
        <x:v>10</x:v>
      </x:c>
      <x:c r="D251" s="14" t="n">
        <x:v>0.0000029147213829848724</x:v>
      </x:c>
      <x:c r="E251" s="14"/>
      <x:c r="F251" s="14"/>
      <x:c r="G251" s="14" t="n">
        <x:v>0.041560702567543586</x:v>
      </x:c>
      <x:c r="H251" s="14"/>
      <x:c r="I251" s="2" t="str">
        <x:v>S015</x:v>
      </x:c>
    </x:row>
    <x:row r="252" ht="27" customHeight="1">
      <x:c r="A252" s="2" t="str">
        <x:v>ae_reconstruction_seed42</x:v>
      </x:c>
      <x:c r="B252" s="2" t="str">
        <x:v>2003</x:v>
      </x:c>
      <x:c r="C252" s="2" t="n">
        <x:v>11</x:v>
      </x:c>
      <x:c r="D252" s="14" t="n">
        <x:v>0.00000236000650445079</x:v>
      </x:c>
      <x:c r="E252" s="14"/>
      <x:c r="F252" s="14"/>
      <x:c r="G252" s="14"/>
      <x:c r="H252" s="14"/>
      <x:c r="I252" s="2" t="str">
        <x:v>S015</x:v>
      </x:c>
    </x:row>
    <x:row r="253" ht="27" customHeight="1">
      <x:c r="A253" s="2" t="str">
        <x:v>ae_reconstruction_seed42</x:v>
      </x:c>
      <x:c r="B253" s="2" t="str">
        <x:v>2003</x:v>
      </x:c>
      <x:c r="C253" s="2" t="n">
        <x:v>12</x:v>
      </x:c>
      <x:c r="D253" s="14" t="n">
        <x:v>0.000001974124015376364</x:v>
      </x:c>
      <x:c r="E253" s="14"/>
      <x:c r="F253" s="14"/>
      <x:c r="G253" s="14"/>
      <x:c r="H253" s="14"/>
      <x:c r="I253" s="2" t="str">
        <x:v>S015</x:v>
      </x:c>
    </x:row>
    <x:row r="254" ht="27" customHeight="1">
      <x:c r="A254" s="2" t="str">
        <x:v>ae_reconstruction_seed42</x:v>
      </x:c>
      <x:c r="B254" s="2" t="str">
        <x:v>2003</x:v>
      </x:c>
      <x:c r="C254" s="2" t="n">
        <x:v>13</x:v>
      </x:c>
      <x:c r="D254" s="14" t="n">
        <x:v>0.0000017147668808379432</x:v>
      </x:c>
      <x:c r="E254" s="14"/>
      <x:c r="F254" s="14"/>
      <x:c r="G254" s="14"/>
      <x:c r="H254" s="14"/>
      <x:c r="I254" s="2" t="str">
        <x:v>S015</x:v>
      </x:c>
    </x:row>
    <x:row r="255" ht="27" customHeight="1">
      <x:c r="A255" s="2" t="str">
        <x:v>ae_reconstruction_seed42</x:v>
      </x:c>
      <x:c r="B255" s="2" t="str">
        <x:v>2003</x:v>
      </x:c>
      <x:c r="C255" s="2" t="n">
        <x:v>14</x:v>
      </x:c>
      <x:c r="D255" s="14" t="n">
        <x:v>0.0000014761427876979986</x:v>
      </x:c>
      <x:c r="E255" s="14"/>
      <x:c r="F255" s="14"/>
      <x:c r="G255" s="14"/>
      <x:c r="H255" s="14"/>
      <x:c r="I255" s="2" t="str">
        <x:v>S015</x:v>
      </x:c>
    </x:row>
    <x:row r="256" ht="27" customHeight="1">
      <x:c r="A256" s="2" t="str">
        <x:v>ae_reconstruction_seed42</x:v>
      </x:c>
      <x:c r="B256" s="2" t="str">
        <x:v>2003</x:v>
      </x:c>
      <x:c r="C256" s="2" t="n">
        <x:v>15</x:v>
      </x:c>
      <x:c r="D256" s="14" t="n">
        <x:v>0.00000131052269449446</x:v>
      </x:c>
      <x:c r="E256" s="14"/>
      <x:c r="F256" s="14"/>
      <x:c r="G256" s="14" t="n">
        <x:v>0.16090015448302494</x:v>
      </x:c>
      <x:c r="H256" s="14"/>
      <x:c r="I256" s="2" t="str">
        <x:v>S015</x:v>
      </x:c>
    </x:row>
    <x:row r="257" ht="27" customHeight="1">
      <x:c r="A257" s="2" t="str">
        <x:v>ae_reconstruction_seed42</x:v>
      </x:c>
      <x:c r="B257" s="2" t="str">
        <x:v>2003</x:v>
      </x:c>
      <x:c r="C257" s="2" t="n">
        <x:v>16</x:v>
      </x:c>
      <x:c r="D257" s="14" t="n">
        <x:v>0.0000011616746869879901</x:v>
      </x:c>
      <x:c r="E257" s="14"/>
      <x:c r="F257" s="14"/>
      <x:c r="G257" s="14"/>
      <x:c r="H257" s="14"/>
      <x:c r="I257" s="2" t="str">
        <x:v>S015</x:v>
      </x:c>
    </x:row>
    <x:row r="258" ht="27" customHeight="1">
      <x:c r="A258" s="2" t="str">
        <x:v>ae_reconstruction_seed42</x:v>
      </x:c>
      <x:c r="B258" s="2" t="str">
        <x:v>2003</x:v>
      </x:c>
      <x:c r="C258" s="2" t="n">
        <x:v>17</x:v>
      </x:c>
      <x:c r="D258" s="14" t="n">
        <x:v>0.0000010470393209694805</x:v>
      </x:c>
      <x:c r="E258" s="14"/>
      <x:c r="F258" s="14"/>
      <x:c r="G258" s="14"/>
      <x:c r="H258" s="14"/>
      <x:c r="I258" s="2" t="str">
        <x:v>S015</x:v>
      </x:c>
    </x:row>
    <x:row r="259" ht="27" customHeight="1">
      <x:c r="A259" s="2" t="str">
        <x:v>ae_reconstruction_seed42</x:v>
      </x:c>
      <x:c r="B259" s="2" t="str">
        <x:v>2003</x:v>
      </x:c>
      <x:c r="C259" s="2" t="n">
        <x:v>18</x:v>
      </x:c>
      <x:c r="D259" s="14" t="n">
        <x:v>9.515518273875235e-7</x:v>
      </x:c>
      <x:c r="E259" s="14"/>
      <x:c r="F259" s="14"/>
      <x:c r="G259" s="14"/>
      <x:c r="H259" s="14"/>
      <x:c r="I259" s="2" t="str">
        <x:v>S015</x:v>
      </x:c>
    </x:row>
    <x:row r="260" ht="27" customHeight="1">
      <x:c r="A260" s="2" t="str">
        <x:v>ae_reconstruction_seed42</x:v>
      </x:c>
      <x:c r="B260" s="2" t="str">
        <x:v>2003</x:v>
      </x:c>
      <x:c r="C260" s="2" t="n">
        <x:v>19</x:v>
      </x:c>
      <x:c r="D260" s="14" t="n">
        <x:v>8.680223794246114e-7</x:v>
      </x:c>
      <x:c r="E260" s="14"/>
      <x:c r="F260" s="14"/>
      <x:c r="G260" s="14"/>
      <x:c r="H260" s="14"/>
      <x:c r="I260" s="2" t="str">
        <x:v>S015</x:v>
      </x:c>
    </x:row>
    <x:row r="261" ht="27" customHeight="1">
      <x:c r="A261" s="2" t="str">
        <x:v>ae_reconstruction_seed42</x:v>
      </x:c>
      <x:c r="B261" s="2" t="str">
        <x:v>2003</x:v>
      </x:c>
      <x:c r="C261" s="2" t="n">
        <x:v>20</x:v>
      </x:c>
      <x:c r="D261" s="14" t="n">
        <x:v>7.990595695922916e-7</x:v>
      </x:c>
      <x:c r="E261" s="14"/>
      <x:c r="F261" s="14"/>
      <x:c r="G261" s="14" t="n">
        <x:v>0.07896020948141427</x:v>
      </x:c>
      <x:c r="H261" s="14"/>
      <x:c r="I261" s="2" t="str">
        <x:v>S015</x:v>
      </x:c>
    </x:row>
    <x:row r="262" ht="27" customHeight="1">
      <x:c r="A262" s="2" t="str">
        <x:v>ae_reconstruction_seed42</x:v>
      </x:c>
      <x:c r="B262" s="2" t="str">
        <x:v>2003</x:v>
      </x:c>
      <x:c r="C262" s="2" t="n">
        <x:v>21</x:v>
      </x:c>
      <x:c r="D262" s="14" t="n">
        <x:v>7.343459817046553e-7</x:v>
      </x:c>
      <x:c r="E262" s="14"/>
      <x:c r="F262" s="14"/>
      <x:c r="G262" s="14"/>
      <x:c r="H262" s="14"/>
      <x:c r="I262" s="2" t="str">
        <x:v>S015</x:v>
      </x:c>
    </x:row>
    <x:row r="263" ht="27" customHeight="1">
      <x:c r="A263" s="2" t="str">
        <x:v>ae_reconstruction_seed42</x:v>
      </x:c>
      <x:c r="B263" s="2" t="str">
        <x:v>2003</x:v>
      </x:c>
      <x:c r="C263" s="2" t="n">
        <x:v>22</x:v>
      </x:c>
      <x:c r="D263" s="14" t="n">
        <x:v>6.82825589067205e-7</x:v>
      </x:c>
      <x:c r="E263" s="14"/>
      <x:c r="F263" s="14"/>
      <x:c r="G263" s="14"/>
      <x:c r="H263" s="14"/>
      <x:c r="I263" s="2" t="str">
        <x:v>S015</x:v>
      </x:c>
    </x:row>
    <x:row r="264" ht="27" customHeight="1">
      <x:c r="A264" s="2" t="str">
        <x:v>ae_reconstruction_seed42</x:v>
      </x:c>
      <x:c r="B264" s="2" t="str">
        <x:v>2003</x:v>
      </x:c>
      <x:c r="C264" s="2" t="n">
        <x:v>23</x:v>
      </x:c>
      <x:c r="D264" s="14" t="n">
        <x:v>6.347840592550323e-7</x:v>
      </x:c>
      <x:c r="E264" s="14"/>
      <x:c r="F264" s="14"/>
      <x:c r="G264" s="14"/>
      <x:c r="H264" s="14"/>
      <x:c r="I264" s="2" t="str">
        <x:v>S015</x:v>
      </x:c>
    </x:row>
    <x:row r="265" ht="27" customHeight="1">
      <x:c r="A265" s="2" t="str">
        <x:v>ae_reconstruction_seed42</x:v>
      </x:c>
      <x:c r="B265" s="2" t="str">
        <x:v>2003</x:v>
      </x:c>
      <x:c r="C265" s="2" t="n">
        <x:v>24</x:v>
      </x:c>
      <x:c r="D265" s="14" t="n">
        <x:v>5.927955417992797e-7</x:v>
      </x:c>
      <x:c r="E265" s="14"/>
      <x:c r="F265" s="14"/>
      <x:c r="G265" s="14"/>
      <x:c r="H265" s="14"/>
      <x:c r="I265" s="2" t="str">
        <x:v>S015</x:v>
      </x:c>
    </x:row>
    <x:row r="266" ht="27" customHeight="1">
      <x:c r="A266" s="2" t="str">
        <x:v>ae_reconstruction_seed42</x:v>
      </x:c>
      <x:c r="B266" s="2" t="str">
        <x:v>2003</x:v>
      </x:c>
      <x:c r="C266" s="2" t="n">
        <x:v>25</x:v>
      </x:c>
      <x:c r="D266" s="14" t="n">
        <x:v>5.569226246881437e-7</x:v>
      </x:c>
      <x:c r="E266" s="14"/>
      <x:c r="F266" s="14"/>
      <x:c r="G266" s="14" t="n">
        <x:v>0.09043656704289448</x:v>
      </x:c>
      <x:c r="H266" s="14"/>
      <x:c r="I266" s="2" t="str">
        <x:v>S015</x:v>
      </x:c>
    </x:row>
    <x:row r="267" ht="27" customHeight="1">
      <x:c r="A267" s="2" t="str">
        <x:v>ae_reconstruction_seed42</x:v>
      </x:c>
      <x:c r="B267" s="2" t="str">
        <x:v>2003</x:v>
      </x:c>
      <x:c r="C267" s="2" t="n">
        <x:v>26</x:v>
      </x:c>
      <x:c r="D267" s="14" t="n">
        <x:v>5.248777925446022e-7</x:v>
      </x:c>
      <x:c r="E267" s="14"/>
      <x:c r="F267" s="14"/>
      <x:c r="G267" s="14"/>
      <x:c r="H267" s="14"/>
      <x:c r="I267" s="2" t="str">
        <x:v>S015</x:v>
      </x:c>
    </x:row>
    <x:row r="268" ht="27" customHeight="1">
      <x:c r="A268" s="2" t="str">
        <x:v>ae_reconstruction_seed42</x:v>
      </x:c>
      <x:c r="B268" s="2" t="str">
        <x:v>2003</x:v>
      </x:c>
      <x:c r="C268" s="2" t="n">
        <x:v>27</x:v>
      </x:c>
      <x:c r="D268" s="14" t="n">
        <x:v>4.976578845301509e-7</x:v>
      </x:c>
      <x:c r="E268" s="14"/>
      <x:c r="F268" s="14"/>
      <x:c r="G268" s="14"/>
      <x:c r="H268" s="14"/>
      <x:c r="I268" s="2" t="str">
        <x:v>S015</x:v>
      </x:c>
    </x:row>
    <x:row r="269" ht="27" customHeight="1">
      <x:c r="A269" s="2" t="str">
        <x:v>ae_reconstruction_seed42</x:v>
      </x:c>
      <x:c r="B269" s="2" t="str">
        <x:v>2003</x:v>
      </x:c>
      <x:c r="C269" s="2" t="n">
        <x:v>28</x:v>
      </x:c>
      <x:c r="D269" s="14" t="n">
        <x:v>4.7225552569219886e-7</x:v>
      </x:c>
      <x:c r="E269" s="14"/>
      <x:c r="F269" s="14"/>
      <x:c r="G269" s="14"/>
      <x:c r="H269" s="14"/>
      <x:c r="I269" s="2" t="str">
        <x:v>S015</x:v>
      </x:c>
    </x:row>
    <x:row r="270" ht="27" customHeight="1">
      <x:c r="A270" s="2" t="str">
        <x:v>ae_reconstruction_seed42</x:v>
      </x:c>
      <x:c r="B270" s="2" t="str">
        <x:v>2003</x:v>
      </x:c>
      <x:c r="C270" s="2" t="n">
        <x:v>29</x:v>
      </x:c>
      <x:c r="D270" s="14" t="n">
        <x:v>4.501234030279806e-7</x:v>
      </x:c>
      <x:c r="E270" s="14"/>
      <x:c r="F270" s="14"/>
      <x:c r="G270" s="14"/>
      <x:c r="H270" s="14"/>
      <x:c r="I270" s="2" t="str">
        <x:v>S015</x:v>
      </x:c>
    </x:row>
    <x:row r="271" ht="27" customHeight="1">
      <x:c r="A271" s="2" t="str">
        <x:v>ae_reconstruction_seed42</x:v>
      </x:c>
      <x:c r="B271" s="2" t="str">
        <x:v>2003</x:v>
      </x:c>
      <x:c r="C271" s="2" t="n">
        <x:v>30</x:v>
      </x:c>
      <x:c r="D271" s="14" t="n">
        <x:v>4.311737435514735e-7</x:v>
      </x:c>
      <x:c r="E271" s="14"/>
      <x:c r="F271" s="14"/>
      <x:c r="G271" s="14" t="n">
        <x:v>0.09753192500607066</x:v>
      </x:c>
      <x:c r="H271" s="14"/>
      <x:c r="I271" s="2" t="str">
        <x:v>S015</x:v>
      </x:c>
    </x:row>
    <x:row r="272" ht="27" customHeight="1">
      <x:c r="A272" s="2" t="str">
        <x:v>ae_reconstruction_seed42</x:v>
      </x:c>
      <x:c r="B272" s="2" t="str">
        <x:v>2003</x:v>
      </x:c>
      <x:c r="C272" s="2" t="n">
        <x:v>31</x:v>
      </x:c>
      <x:c r="D272" s="14" t="n">
        <x:v>4.14920819127422e-7</x:v>
      </x:c>
      <x:c r="E272" s="14"/>
      <x:c r="F272" s="14"/>
      <x:c r="G272" s="14"/>
      <x:c r="H272" s="14"/>
      <x:c r="I272" s="2" t="str">
        <x:v>S015</x:v>
      </x:c>
    </x:row>
    <x:row r="273" ht="27" customHeight="1">
      <x:c r="A273" s="2" t="str">
        <x:v>ae_reconstruction_seed42</x:v>
      </x:c>
      <x:c r="B273" s="2" t="str">
        <x:v>2003</x:v>
      </x:c>
      <x:c r="C273" s="2" t="n">
        <x:v>32</x:v>
      </x:c>
      <x:c r="D273" s="14" t="n">
        <x:v>4.005249372361055e-7</x:v>
      </x:c>
      <x:c r="E273" s="14"/>
      <x:c r="F273" s="14"/>
      <x:c r="G273" s="14"/>
      <x:c r="H273" s="14"/>
      <x:c r="I273" s="2" t="str">
        <x:v>S015</x:v>
      </x:c>
    </x:row>
    <x:row r="274" ht="27" customHeight="1">
      <x:c r="A274" s="2" t="str">
        <x:v>ae_reconstruction_seed42</x:v>
      </x:c>
      <x:c r="B274" s="2" t="str">
        <x:v>2003</x:v>
      </x:c>
      <x:c r="C274" s="2" t="n">
        <x:v>33</x:v>
      </x:c>
      <x:c r="D274" s="14" t="n">
        <x:v>3.8810532450917573e-7</x:v>
      </x:c>
      <x:c r="E274" s="14"/>
      <x:c r="F274" s="14"/>
      <x:c r="G274" s="14"/>
      <x:c r="H274" s="14"/>
      <x:c r="I274" s="2" t="str">
        <x:v>S015</x:v>
      </x:c>
    </x:row>
    <x:row r="275" ht="27" customHeight="1">
      <x:c r="A275" s="2" t="str">
        <x:v>ae_reconstruction_seed42</x:v>
      </x:c>
      <x:c r="B275" s="2" t="str">
        <x:v>2003</x:v>
      </x:c>
      <x:c r="C275" s="2" t="n">
        <x:v>34</x:v>
      </x:c>
      <x:c r="D275" s="14" t="n">
        <x:v>3.7746013431567214e-7</x:v>
      </x:c>
      <x:c r="E275" s="14"/>
      <x:c r="F275" s="14"/>
      <x:c r="G275" s="14"/>
      <x:c r="H275" s="14"/>
      <x:c r="I275" s="2" t="str">
        <x:v>S015</x:v>
      </x:c>
    </x:row>
    <x:row r="276" ht="27" customHeight="1">
      <x:c r="A276" s="2" t="str">
        <x:v>ae_reconstruction_seed42</x:v>
      </x:c>
      <x:c r="B276" s="2" t="str">
        <x:v>2003</x:v>
      </x:c>
      <x:c r="C276" s="2" t="n">
        <x:v>35</x:v>
      </x:c>
      <x:c r="D276" s="14" t="n">
        <x:v>3.6917480996049983e-7</x:v>
      </x:c>
      <x:c r="E276" s="14"/>
      <x:c r="F276" s="14"/>
      <x:c r="G276" s="14" t="n">
        <x:v>0.09753192500607066</x:v>
      </x:c>
      <x:c r="H276" s="14"/>
      <x:c r="I276" s="2" t="str">
        <x:v>S015</x:v>
      </x:c>
    </x:row>
    <x:row r="277" ht="27" customHeight="1">
      <x:c r="A277" s="2" t="str">
        <x:v>ae_reconstruction_seed42</x:v>
      </x:c>
      <x:c r="B277" s="2" t="str">
        <x:v>2003</x:v>
      </x:c>
      <x:c r="C277" s="2" t="n">
        <x:v>36</x:v>
      </x:c>
      <x:c r="D277" s="14" t="n">
        <x:v>3.619830524597997e-7</x:v>
      </x:c>
      <x:c r="E277" s="14"/>
      <x:c r="F277" s="14"/>
      <x:c r="G277" s="14"/>
      <x:c r="H277" s="14"/>
      <x:c r="I277" s="2" t="str">
        <x:v>S015</x:v>
      </x:c>
    </x:row>
    <x:row r="278" ht="27" customHeight="1">
      <x:c r="A278" s="2" t="str">
        <x:v>ae_reconstruction_seed42</x:v>
      </x:c>
      <x:c r="B278" s="2" t="str">
        <x:v>2003</x:v>
      </x:c>
      <x:c r="C278" s="2" t="n">
        <x:v>37</x:v>
      </x:c>
      <x:c r="D278" s="14" t="n">
        <x:v>3.5581726739004677e-7</x:v>
      </x:c>
      <x:c r="E278" s="14"/>
      <x:c r="F278" s="14"/>
      <x:c r="G278" s="14"/>
      <x:c r="H278" s="14"/>
      <x:c r="I278" s="2" t="str">
        <x:v>S015</x:v>
      </x:c>
    </x:row>
    <x:row r="279" ht="27" customHeight="1">
      <x:c r="A279" s="2" t="str">
        <x:v>ae_reconstruction_seed42</x:v>
      </x:c>
      <x:c r="B279" s="2" t="str">
        <x:v>2003</x:v>
      </x:c>
      <x:c r="C279" s="2" t="n">
        <x:v>38</x:v>
      </x:c>
      <x:c r="D279" s="14" t="n">
        <x:v>3.513667487298443e-7</x:v>
      </x:c>
      <x:c r="E279" s="14"/>
      <x:c r="F279" s="14"/>
      <x:c r="G279" s="14"/>
      <x:c r="H279" s="14"/>
      <x:c r="I279" s="2" t="str">
        <x:v>S015</x:v>
      </x:c>
    </x:row>
    <x:row r="280" ht="27" customHeight="1">
      <x:c r="A280" s="2" t="str">
        <x:v>ae_reconstruction_seed42</x:v>
      </x:c>
      <x:c r="B280" s="2" t="str">
        <x:v>2003</x:v>
      </x:c>
      <x:c r="C280" s="2" t="n">
        <x:v>39</x:v>
      </x:c>
      <x:c r="D280" s="14" t="n">
        <x:v>3.479645162206516e-7</x:v>
      </x:c>
      <x:c r="E280" s="14"/>
      <x:c r="F280" s="14"/>
      <x:c r="G280" s="14"/>
      <x:c r="H280" s="14"/>
      <x:c r="I280" s="2" t="str">
        <x:v>S015</x:v>
      </x:c>
    </x:row>
    <x:row r="281" ht="27" customHeight="1">
      <x:c r="A281" s="2" t="str">
        <x:v>ae_reconstruction_seed42</x:v>
      </x:c>
      <x:c r="B281" s="2" t="str">
        <x:v>2003</x:v>
      </x:c>
      <x:c r="C281" s="2" t="n">
        <x:v>40</x:v>
      </x:c>
      <x:c r="D281" s="14" t="n">
        <x:v>3.456636611693246e-7</x:v>
      </x:c>
      <x:c r="E281" s="14"/>
      <x:c r="F281" s="14"/>
      <x:c r="G281" s="14" t="n">
        <x:v>0.09754493655809607</x:v>
      </x:c>
      <x:c r="H281" s="14"/>
      <x:c r="I281" s="2" t="str">
        <x:v>S015</x:v>
      </x:c>
    </x:row>
    <x:row r="282" ht="27" customHeight="1">
      <x:c r="A282" s="2" t="str">
        <x:v>ae_reconstruction_seed42</x:v>
      </x:c>
      <x:c r="B282" s="2" t="str">
        <x:v>2004</x:v>
      </x:c>
      <x:c r="C282" s="2" t="n">
        <x:v>1</x:v>
      </x:c>
      <x:c r="D282" s="14" t="n">
        <x:v>0.013803661977683351</x:v>
      </x:c>
      <x:c r="E282" s="14"/>
      <x:c r="F282" s="14"/>
      <x:c r="G282" s="14"/>
      <x:c r="H282" s="14"/>
      <x:c r="I282" s="2" t="str">
        <x:v>S016</x:v>
      </x:c>
    </x:row>
    <x:row r="283" ht="27" customHeight="1">
      <x:c r="A283" s="2" t="str">
        <x:v>ae_reconstruction_seed42</x:v>
      </x:c>
      <x:c r="B283" s="2" t="str">
        <x:v>2004</x:v>
      </x:c>
      <x:c r="C283" s="2" t="n">
        <x:v>2</x:v>
      </x:c>
      <x:c r="D283" s="14" t="n">
        <x:v>0.0005557737960222474</x:v>
      </x:c>
      <x:c r="E283" s="14"/>
      <x:c r="F283" s="14"/>
      <x:c r="G283" s="14"/>
      <x:c r="H283" s="14"/>
      <x:c r="I283" s="2" t="str">
        <x:v>S016</x:v>
      </x:c>
    </x:row>
    <x:row r="284" ht="27" customHeight="1">
      <x:c r="A284" s="2" t="str">
        <x:v>ae_reconstruction_seed42</x:v>
      </x:c>
      <x:c r="B284" s="2" t="str">
        <x:v>2004</x:v>
      </x:c>
      <x:c r="C284" s="2" t="n">
        <x:v>3</x:v>
      </x:c>
      <x:c r="D284" s="14" t="n">
        <x:v>0.0001075800079739905</x:v>
      </x:c>
      <x:c r="E284" s="14"/>
      <x:c r="F284" s="14"/>
      <x:c r="G284" s="14"/>
      <x:c r="H284" s="14"/>
      <x:c r="I284" s="2" t="str">
        <x:v>S016</x:v>
      </x:c>
    </x:row>
    <x:row r="285" ht="27" customHeight="1">
      <x:c r="A285" s="2" t="str">
        <x:v>ae_reconstruction_seed42</x:v>
      </x:c>
      <x:c r="B285" s="2" t="str">
        <x:v>2004</x:v>
      </x:c>
      <x:c r="C285" s="2" t="n">
        <x:v>4</x:v>
      </x:c>
      <x:c r="D285" s="14" t="n">
        <x:v>0.000026346001240903232</x:v>
      </x:c>
      <x:c r="E285" s="14"/>
      <x:c r="F285" s="14"/>
      <x:c r="G285" s="14"/>
      <x:c r="H285" s="14"/>
      <x:c r="I285" s="2" t="str">
        <x:v>S016</x:v>
      </x:c>
    </x:row>
    <x:row r="286" ht="27" customHeight="1">
      <x:c r="A286" s="2" t="str">
        <x:v>ae_reconstruction_seed42</x:v>
      </x:c>
      <x:c r="B286" s="2" t="str">
        <x:v>2004</x:v>
      </x:c>
      <x:c r="C286" s="2" t="n">
        <x:v>5</x:v>
      </x:c>
      <x:c r="D286" s="14" t="n">
        <x:v>0.000009531755160712153</x:v>
      </x:c>
      <x:c r="E286" s="14"/>
      <x:c r="F286" s="14"/>
      <x:c r="G286" s="14" t="n">
        <x:v>0.1105472330868246</x:v>
      </x:c>
      <x:c r="H286" s="14"/>
      <x:c r="I286" s="2" t="str">
        <x:v>S016</x:v>
      </x:c>
    </x:row>
    <x:row r="287" ht="27" customHeight="1">
      <x:c r="A287" s="2" t="str">
        <x:v>ae_reconstruction_seed42</x:v>
      </x:c>
      <x:c r="B287" s="2" t="str">
        <x:v>2004</x:v>
      </x:c>
      <x:c r="C287" s="2" t="n">
        <x:v>6</x:v>
      </x:c>
      <x:c r="D287" s="14" t="n">
        <x:v>0.000004918008586533066</x:v>
      </x:c>
      <x:c r="E287" s="14"/>
      <x:c r="F287" s="14"/>
      <x:c r="G287" s="14"/>
      <x:c r="H287" s="14"/>
      <x:c r="I287" s="2" t="str">
        <x:v>S016</x:v>
      </x:c>
    </x:row>
    <x:row r="288" ht="27" customHeight="1">
      <x:c r="A288" s="2" t="str">
        <x:v>ae_reconstruction_seed42</x:v>
      </x:c>
      <x:c r="B288" s="2" t="str">
        <x:v>2004</x:v>
      </x:c>
      <x:c r="C288" s="2" t="n">
        <x:v>7</x:v>
      </x:c>
      <x:c r="D288" s="14" t="n">
        <x:v>0.0000031720380010234145</x:v>
      </x:c>
      <x:c r="E288" s="14"/>
      <x:c r="F288" s="14"/>
      <x:c r="G288" s="14"/>
      <x:c r="H288" s="14"/>
      <x:c r="I288" s="2" t="str">
        <x:v>S016</x:v>
      </x:c>
    </x:row>
    <x:row r="289" ht="27" customHeight="1">
      <x:c r="A289" s="2" t="str">
        <x:v>ae_reconstruction_seed42</x:v>
      </x:c>
      <x:c r="B289" s="2" t="str">
        <x:v>2004</x:v>
      </x:c>
      <x:c r="C289" s="2" t="n">
        <x:v>8</x:v>
      </x:c>
      <x:c r="D289" s="14" t="n">
        <x:v>0.0000023106235066551134</x:v>
      </x:c>
      <x:c r="E289" s="14"/>
      <x:c r="F289" s="14"/>
      <x:c r="G289" s="14"/>
      <x:c r="H289" s="14"/>
      <x:c r="I289" s="2" t="str">
        <x:v>S016</x:v>
      </x:c>
    </x:row>
    <x:row r="290" ht="27" customHeight="1">
      <x:c r="A290" s="2" t="str">
        <x:v>ae_reconstruction_seed42</x:v>
      </x:c>
      <x:c r="B290" s="2" t="str">
        <x:v>2004</x:v>
      </x:c>
      <x:c r="C290" s="2" t="n">
        <x:v>9</x:v>
      </x:c>
      <x:c r="D290" s="14" t="n">
        <x:v>0.000001812793590055377</x:v>
      </x:c>
      <x:c r="E290" s="14"/>
      <x:c r="F290" s="14"/>
      <x:c r="G290" s="14"/>
      <x:c r="H290" s="14"/>
      <x:c r="I290" s="2" t="str">
        <x:v>S016</x:v>
      </x:c>
    </x:row>
    <x:row r="291" ht="27" customHeight="1">
      <x:c r="A291" s="2" t="str">
        <x:v>ae_reconstruction_seed42</x:v>
      </x:c>
      <x:c r="B291" s="2" t="str">
        <x:v>2004</x:v>
      </x:c>
      <x:c r="C291" s="2" t="n">
        <x:v>10</x:v>
      </x:c>
      <x:c r="D291" s="14" t="n">
        <x:v>0.0000014718002795543275</x:v>
      </x:c>
      <x:c r="E291" s="14"/>
      <x:c r="F291" s="14"/>
      <x:c r="G291" s="14" t="n">
        <x:v>0.12133369431177966</x:v>
      </x:c>
      <x:c r="H291" s="14"/>
      <x:c r="I291" s="2" t="str">
        <x:v>S016</x:v>
      </x:c>
    </x:row>
    <x:row r="292" ht="27" customHeight="1">
      <x:c r="A292" s="2" t="str">
        <x:v>ae_reconstruction_seed42</x:v>
      </x:c>
      <x:c r="B292" s="2" t="str">
        <x:v>2004</x:v>
      </x:c>
      <x:c r="C292" s="2" t="n">
        <x:v>11</x:v>
      </x:c>
      <x:c r="D292" s="14" t="n">
        <x:v>0.000001241398715427084</x:v>
      </x:c>
      <x:c r="E292" s="14"/>
      <x:c r="F292" s="14"/>
      <x:c r="G292" s="14"/>
      <x:c r="H292" s="14"/>
      <x:c r="I292" s="2" t="str">
        <x:v>S016</x:v>
      </x:c>
    </x:row>
    <x:row r="293" ht="27" customHeight="1">
      <x:c r="A293" s="2" t="str">
        <x:v>ae_reconstruction_seed42</x:v>
      </x:c>
      <x:c r="B293" s="2" t="str">
        <x:v>2004</x:v>
      </x:c>
      <x:c r="C293" s="2" t="n">
        <x:v>12</x:v>
      </x:c>
      <x:c r="D293" s="14" t="n">
        <x:v>0.0000014178476589915385</x:v>
      </x:c>
      <x:c r="E293" s="14"/>
      <x:c r="F293" s="14"/>
      <x:c r="G293" s="14"/>
      <x:c r="H293" s="14"/>
      <x:c r="I293" s="2" t="str">
        <x:v>S016</x:v>
      </x:c>
    </x:row>
    <x:row r="294" ht="27" customHeight="1">
      <x:c r="A294" s="2" t="str">
        <x:v>ae_reconstruction_seed42</x:v>
      </x:c>
      <x:c r="B294" s="2" t="str">
        <x:v>2004</x:v>
      </x:c>
      <x:c r="C294" s="2" t="n">
        <x:v>13</x:v>
      </x:c>
      <x:c r="D294" s="14" t="n">
        <x:v>0.0000010524544096041102</x:v>
      </x:c>
      <x:c r="E294" s="14"/>
      <x:c r="F294" s="14"/>
      <x:c r="G294" s="14"/>
      <x:c r="H294" s="14"/>
      <x:c r="I294" s="2" t="str">
        <x:v>S016</x:v>
      </x:c>
    </x:row>
    <x:row r="295" ht="27" customHeight="1">
      <x:c r="A295" s="2" t="str">
        <x:v>ae_reconstruction_seed42</x:v>
      </x:c>
      <x:c r="B295" s="2" t="str">
        <x:v>2004</x:v>
      </x:c>
      <x:c r="C295" s="2" t="n">
        <x:v>14</x:v>
      </x:c>
      <x:c r="D295" s="14" t="n">
        <x:v>0.0000011153919739644948</x:v>
      </x:c>
      <x:c r="E295" s="14"/>
      <x:c r="F295" s="14"/>
      <x:c r="G295" s="14"/>
      <x:c r="H295" s="14"/>
      <x:c r="I295" s="2" t="str">
        <x:v>S016</x:v>
      </x:c>
    </x:row>
    <x:row r="296" ht="27" customHeight="1">
      <x:c r="A296" s="2" t="str">
        <x:v>ae_reconstruction_seed42</x:v>
      </x:c>
      <x:c r="B296" s="2" t="str">
        <x:v>2004</x:v>
      </x:c>
      <x:c r="C296" s="2" t="n">
        <x:v>15</x:v>
      </x:c>
      <x:c r="D296" s="14" t="n">
        <x:v>8.972154764081927e-7</x:v>
      </x:c>
      <x:c r="E296" s="14"/>
      <x:c r="F296" s="14"/>
      <x:c r="G296" s="14" t="n">
        <x:v>0</x:v>
      </x:c>
      <x:c r="H296" s="14"/>
      <x:c r="I296" s="2" t="str">
        <x:v>S016</x:v>
      </x:c>
    </x:row>
    <x:row r="297" ht="27" customHeight="1">
      <x:c r="A297" s="2" t="str">
        <x:v>ae_reconstruction_seed42</x:v>
      </x:c>
      <x:c r="B297" s="2" t="str">
        <x:v>2004</x:v>
      </x:c>
      <x:c r="C297" s="2" t="n">
        <x:v>16</x:v>
      </x:c>
      <x:c r="D297" s="14" t="n">
        <x:v>8.005692543106607e-7</x:v>
      </x:c>
      <x:c r="E297" s="14"/>
      <x:c r="F297" s="14"/>
      <x:c r="G297" s="14"/>
      <x:c r="H297" s="14"/>
      <x:c r="I297" s="2" t="str">
        <x:v>S016</x:v>
      </x:c>
    </x:row>
    <x:row r="298" ht="27" customHeight="1">
      <x:c r="A298" s="2" t="str">
        <x:v>ae_reconstruction_seed42</x:v>
      </x:c>
      <x:c r="B298" s="2" t="str">
        <x:v>2004</x:v>
      </x:c>
      <x:c r="C298" s="2" t="n">
        <x:v>17</x:v>
      </x:c>
      <x:c r="D298" s="14" t="n">
        <x:v>7.069611707266216e-7</x:v>
      </x:c>
      <x:c r="E298" s="14"/>
      <x:c r="F298" s="14"/>
      <x:c r="G298" s="14"/>
      <x:c r="H298" s="14"/>
      <x:c r="I298" s="2" t="str">
        <x:v>S016</x:v>
      </x:c>
    </x:row>
    <x:row r="299" ht="27" customHeight="1">
      <x:c r="A299" s="2" t="str">
        <x:v>ae_reconstruction_seed42</x:v>
      </x:c>
      <x:c r="B299" s="2" t="str">
        <x:v>2004</x:v>
      </x:c>
      <x:c r="C299" s="2" t="n">
        <x:v>18</x:v>
      </x:c>
      <x:c r="D299" s="14" t="n">
        <x:v>6.355411869910547e-7</x:v>
      </x:c>
      <x:c r="E299" s="14"/>
      <x:c r="F299" s="14"/>
      <x:c r="G299" s="14"/>
      <x:c r="H299" s="14"/>
      <x:c r="I299" s="2" t="str">
        <x:v>S016</x:v>
      </x:c>
    </x:row>
    <x:row r="300" ht="27" customHeight="1">
      <x:c r="A300" s="2" t="str">
        <x:v>ae_reconstruction_seed42</x:v>
      </x:c>
      <x:c r="B300" s="2" t="str">
        <x:v>2004</x:v>
      </x:c>
      <x:c r="C300" s="2" t="n">
        <x:v>19</x:v>
      </x:c>
      <x:c r="D300" s="14" t="n">
        <x:v>5.756755498829179e-7</x:v>
      </x:c>
      <x:c r="E300" s="14"/>
      <x:c r="F300" s="14"/>
      <x:c r="G300" s="14"/>
      <x:c r="H300" s="14"/>
      <x:c r="I300" s="2" t="str">
        <x:v>S016</x:v>
      </x:c>
    </x:row>
    <x:row r="301" ht="27" customHeight="1">
      <x:c r="A301" s="2" t="str">
        <x:v>ae_reconstruction_seed42</x:v>
      </x:c>
      <x:c r="B301" s="2" t="str">
        <x:v>2004</x:v>
      </x:c>
      <x:c r="C301" s="2" t="n">
        <x:v>20</x:v>
      </x:c>
      <x:c r="D301" s="14" t="n">
        <x:v>5.244257688257753e-7</x:v>
      </x:c>
      <x:c r="E301" s="14"/>
      <x:c r="F301" s="14"/>
      <x:c r="G301" s="14" t="n">
        <x:v>0</x:v>
      </x:c>
      <x:c r="H301" s="14"/>
      <x:c r="I301" s="2" t="str">
        <x:v>S016</x:v>
      </x:c>
    </x:row>
    <x:row r="302" ht="27" customHeight="1">
      <x:c r="A302" s="2" t="str">
        <x:v>ae_reconstruction_seed42</x:v>
      </x:c>
      <x:c r="B302" s="2" t="str">
        <x:v>2004</x:v>
      </x:c>
      <x:c r="C302" s="2" t="n">
        <x:v>21</x:v>
      </x:c>
      <x:c r="D302" s="14" t="n">
        <x:v>4.807407033191548e-7</x:v>
      </x:c>
      <x:c r="E302" s="14"/>
      <x:c r="F302" s="14"/>
      <x:c r="G302" s="14"/>
      <x:c r="H302" s="14"/>
      <x:c r="I302" s="2" t="str">
        <x:v>S016</x:v>
      </x:c>
    </x:row>
    <x:row r="303" ht="27" customHeight="1">
      <x:c r="A303" s="2" t="str">
        <x:v>ae_reconstruction_seed42</x:v>
      </x:c>
      <x:c r="B303" s="2" t="str">
        <x:v>2004</x:v>
      </x:c>
      <x:c r="C303" s="2" t="n">
        <x:v>22</x:v>
      </x:c>
      <x:c r="D303" s="14" t="n">
        <x:v>4.4379620448927713e-7</x:v>
      </x:c>
      <x:c r="E303" s="14"/>
      <x:c r="F303" s="14"/>
      <x:c r="G303" s="14"/>
      <x:c r="H303" s="14"/>
      <x:c r="I303" s="2" t="str">
        <x:v>S016</x:v>
      </x:c>
    </x:row>
    <x:row r="304" ht="27" customHeight="1">
      <x:c r="A304" s="2" t="str">
        <x:v>ae_reconstruction_seed42</x:v>
      </x:c>
      <x:c r="B304" s="2" t="str">
        <x:v>2004</x:v>
      </x:c>
      <x:c r="C304" s="2" t="n">
        <x:v>23</x:v>
      </x:c>
      <x:c r="D304" s="14" t="n">
        <x:v>4.108993956804138e-7</x:v>
      </x:c>
      <x:c r="E304" s="14"/>
      <x:c r="F304" s="14"/>
      <x:c r="G304" s="14"/>
      <x:c r="H304" s="14"/>
      <x:c r="I304" s="2" t="str">
        <x:v>S016</x:v>
      </x:c>
    </x:row>
    <x:row r="305" ht="27" customHeight="1">
      <x:c r="A305" s="2" t="str">
        <x:v>ae_reconstruction_seed42</x:v>
      </x:c>
      <x:c r="B305" s="2" t="str">
        <x:v>2004</x:v>
      </x:c>
      <x:c r="C305" s="2" t="n">
        <x:v>24</x:v>
      </x:c>
      <x:c r="D305" s="14" t="n">
        <x:v>3.8221082204471386e-7</x:v>
      </x:c>
      <x:c r="E305" s="14"/>
      <x:c r="F305" s="14"/>
      <x:c r="G305" s="14"/>
      <x:c r="H305" s="14"/>
      <x:c r="I305" s="2" t="str">
        <x:v>S016</x:v>
      </x:c>
    </x:row>
    <x:row r="306" ht="27" customHeight="1">
      <x:c r="A306" s="2" t="str">
        <x:v>ae_reconstruction_seed42</x:v>
      </x:c>
      <x:c r="B306" s="2" t="str">
        <x:v>2004</x:v>
      </x:c>
      <x:c r="C306" s="2" t="n">
        <x:v>25</x:v>
      </x:c>
      <x:c r="D306" s="14" t="n">
        <x:v>3.572416780086118e-7</x:v>
      </x:c>
      <x:c r="E306" s="14"/>
      <x:c r="F306" s="14"/>
      <x:c r="G306" s="14" t="n">
        <x:v>0</x:v>
      </x:c>
      <x:c r="H306" s="14"/>
      <x:c r="I306" s="2" t="str">
        <x:v>S016</x:v>
      </x:c>
    </x:row>
    <x:row r="307" ht="27" customHeight="1">
      <x:c r="A307" s="2" t="str">
        <x:v>ae_reconstruction_seed42</x:v>
      </x:c>
      <x:c r="B307" s="2" t="str">
        <x:v>2004</x:v>
      </x:c>
      <x:c r="C307" s="2" t="n">
        <x:v>26</x:v>
      </x:c>
      <x:c r="D307" s="14" t="n">
        <x:v>3.3518002638408577e-7</x:v>
      </x:c>
      <x:c r="E307" s="14"/>
      <x:c r="F307" s="14"/>
      <x:c r="G307" s="14"/>
      <x:c r="H307" s="14"/>
      <x:c r="I307" s="2" t="str">
        <x:v>S016</x:v>
      </x:c>
    </x:row>
    <x:row r="308" ht="27" customHeight="1">
      <x:c r="A308" s="2" t="str">
        <x:v>ae_reconstruction_seed42</x:v>
      </x:c>
      <x:c r="B308" s="2" t="str">
        <x:v>2004</x:v>
      </x:c>
      <x:c r="C308" s="2" t="n">
        <x:v>27</x:v>
      </x:c>
      <x:c r="D308" s="14" t="n">
        <x:v>3.159135875755862e-7</x:v>
      </x:c>
      <x:c r="E308" s="14"/>
      <x:c r="F308" s="14"/>
      <x:c r="G308" s="14"/>
      <x:c r="H308" s="14"/>
      <x:c r="I308" s="2" t="str">
        <x:v>S016</x:v>
      </x:c>
    </x:row>
    <x:row r="309" ht="27" customHeight="1">
      <x:c r="A309" s="2" t="str">
        <x:v>ae_reconstruction_seed42</x:v>
      </x:c>
      <x:c r="B309" s="2" t="str">
        <x:v>2004</x:v>
      </x:c>
      <x:c r="C309" s="2" t="n">
        <x:v>28</x:v>
      </x:c>
      <x:c r="D309" s="14" t="n">
        <x:v>2.9842857443613374e-7</x:v>
      </x:c>
      <x:c r="E309" s="14"/>
      <x:c r="F309" s="14"/>
      <x:c r="G309" s="14"/>
      <x:c r="H309" s="14"/>
      <x:c r="I309" s="2" t="str">
        <x:v>S016</x:v>
      </x:c>
    </x:row>
    <x:row r="310" ht="27" customHeight="1">
      <x:c r="A310" s="2" t="str">
        <x:v>ae_reconstruction_seed42</x:v>
      </x:c>
      <x:c r="B310" s="2" t="str">
        <x:v>2004</x:v>
      </x:c>
      <x:c r="C310" s="2" t="n">
        <x:v>29</x:v>
      </x:c>
      <x:c r="D310" s="14" t="n">
        <x:v>2.83535901923986e-7</x:v>
      </x:c>
      <x:c r="E310" s="14"/>
      <x:c r="F310" s="14"/>
      <x:c r="G310" s="14"/>
      <x:c r="H310" s="14"/>
      <x:c r="I310" s="2" t="str">
        <x:v>S016</x:v>
      </x:c>
    </x:row>
    <x:row r="311" ht="27" customHeight="1">
      <x:c r="A311" s="2" t="str">
        <x:v>ae_reconstruction_seed42</x:v>
      </x:c>
      <x:c r="B311" s="2" t="str">
        <x:v>2004</x:v>
      </x:c>
      <x:c r="C311" s="2" t="n">
        <x:v>30</x:v>
      </x:c>
      <x:c r="D311" s="14" t="n">
        <x:v>2.7004630656171943e-7</x:v>
      </x:c>
      <x:c r="E311" s="14"/>
      <x:c r="F311" s="14"/>
      <x:c r="G311" s="14" t="n">
        <x:v>0</x:v>
      </x:c>
      <x:c r="H311" s="14"/>
      <x:c r="I311" s="2" t="str">
        <x:v>S016</x:v>
      </x:c>
    </x:row>
    <x:row r="312" ht="27" customHeight="1">
      <x:c r="A312" s="2" t="str">
        <x:v>ae_reconstruction_seed42</x:v>
      </x:c>
      <x:c r="B312" s="2" t="str">
        <x:v>2004</x:v>
      </x:c>
      <x:c r="C312" s="2" t="n">
        <x:v>31</x:v>
      </x:c>
      <x:c r="D312" s="14" t="n">
        <x:v>2.589570405923051e-7</x:v>
      </x:c>
      <x:c r="E312" s="14"/>
      <x:c r="F312" s="14"/>
      <x:c r="G312" s="14"/>
      <x:c r="H312" s="14"/>
      <x:c r="I312" s="2" t="str">
        <x:v>S016</x:v>
      </x:c>
    </x:row>
    <x:row r="313" ht="27" customHeight="1">
      <x:c r="A313" s="2" t="str">
        <x:v>ae_reconstruction_seed42</x:v>
      </x:c>
      <x:c r="B313" s="2" t="str">
        <x:v>2004</x:v>
      </x:c>
      <x:c r="C313" s="2" t="n">
        <x:v>32</x:v>
      </x:c>
      <x:c r="D313" s="14" t="n">
        <x:v>2.490372844976827e-7</x:v>
      </x:c>
      <x:c r="E313" s="14"/>
      <x:c r="F313" s="14"/>
      <x:c r="G313" s="14"/>
      <x:c r="H313" s="14"/>
      <x:c r="I313" s="2" t="str">
        <x:v>S016</x:v>
      </x:c>
    </x:row>
    <x:row r="314" ht="27" customHeight="1">
      <x:c r="A314" s="2" t="str">
        <x:v>ae_reconstruction_seed42</x:v>
      </x:c>
      <x:c r="B314" s="2" t="str">
        <x:v>2004</x:v>
      </x:c>
      <x:c r="C314" s="2" t="n">
        <x:v>33</x:v>
      </x:c>
      <x:c r="D314" s="14" t="n">
        <x:v>2.404970901943002e-7</x:v>
      </x:c>
      <x:c r="E314" s="14"/>
      <x:c r="F314" s="14"/>
      <x:c r="G314" s="14"/>
      <x:c r="H314" s="14"/>
      <x:c r="I314" s="2" t="str">
        <x:v>S016</x:v>
      </x:c>
    </x:row>
    <x:row r="315" ht="27" customHeight="1">
      <x:c r="A315" s="2" t="str">
        <x:v>ae_reconstruction_seed42</x:v>
      </x:c>
      <x:c r="B315" s="2" t="str">
        <x:v>2004</x:v>
      </x:c>
      <x:c r="C315" s="2" t="n">
        <x:v>34</x:v>
      </x:c>
      <x:c r="D315" s="14" t="n">
        <x:v>2.3362670236484865e-7</x:v>
      </x:c>
      <x:c r="E315" s="14"/>
      <x:c r="F315" s="14"/>
      <x:c r="G315" s="14"/>
      <x:c r="H315" s="14"/>
      <x:c r="I315" s="2" t="str">
        <x:v>S016</x:v>
      </x:c>
    </x:row>
    <x:row r="316" ht="27" customHeight="1">
      <x:c r="A316" s="2" t="str">
        <x:v>ae_reconstruction_seed42</x:v>
      </x:c>
      <x:c r="B316" s="2" t="str">
        <x:v>2004</x:v>
      </x:c>
      <x:c r="C316" s="2" t="n">
        <x:v>35</x:v>
      </x:c>
      <x:c r="D316" s="14" t="n">
        <x:v>2.278143019904906e-7</x:v>
      </x:c>
      <x:c r="E316" s="14"/>
      <x:c r="F316" s="14"/>
      <x:c r="G316" s="14" t="n">
        <x:v>0</x:v>
      </x:c>
      <x:c r="H316" s="14"/>
      <x:c r="I316" s="2" t="str">
        <x:v>S016</x:v>
      </x:c>
    </x:row>
    <x:row r="317" ht="27" customHeight="1">
      <x:c r="A317" s="2" t="str">
        <x:v>ae_reconstruction_seed42</x:v>
      </x:c>
      <x:c r="B317" s="2" t="str">
        <x:v>2004</x:v>
      </x:c>
      <x:c r="C317" s="2" t="n">
        <x:v>36</x:v>
      </x:c>
      <x:c r="D317" s="14" t="n">
        <x:v>2.230319235716303e-7</x:v>
      </x:c>
      <x:c r="E317" s="14"/>
      <x:c r="F317" s="14"/>
      <x:c r="G317" s="14"/>
      <x:c r="H317" s="14"/>
      <x:c r="I317" s="2" t="str">
        <x:v>S016</x:v>
      </x:c>
    </x:row>
    <x:row r="318" ht="27" customHeight="1">
      <x:c r="A318" s="2" t="str">
        <x:v>ae_reconstruction_seed42</x:v>
      </x:c>
      <x:c r="B318" s="2" t="str">
        <x:v>2004</x:v>
      </x:c>
      <x:c r="C318" s="2" t="n">
        <x:v>37</x:v>
      </x:c>
      <x:c r="D318" s="14" t="n">
        <x:v>2.1924612103566304e-7</x:v>
      </x:c>
      <x:c r="E318" s="14"/>
      <x:c r="F318" s="14"/>
      <x:c r="G318" s="14"/>
      <x:c r="H318" s="14"/>
      <x:c r="I318" s="2" t="str">
        <x:v>S016</x:v>
      </x:c>
    </x:row>
    <x:row r="319" ht="27" customHeight="1">
      <x:c r="A319" s="2" t="str">
        <x:v>ae_reconstruction_seed42</x:v>
      </x:c>
      <x:c r="B319" s="2" t="str">
        <x:v>2004</x:v>
      </x:c>
      <x:c r="C319" s="2" t="n">
        <x:v>38</x:v>
      </x:c>
      <x:c r="D319" s="14" t="n">
        <x:v>2.1614084324427754e-7</x:v>
      </x:c>
      <x:c r="E319" s="14"/>
      <x:c r="F319" s="14"/>
      <x:c r="G319" s="14"/>
      <x:c r="H319" s="14"/>
      <x:c r="I319" s="2" t="str">
        <x:v>S016</x:v>
      </x:c>
    </x:row>
    <x:row r="320" ht="27" customHeight="1">
      <x:c r="A320" s="2" t="str">
        <x:v>ae_reconstruction_seed42</x:v>
      </x:c>
      <x:c r="B320" s="2" t="str">
        <x:v>2004</x:v>
      </x:c>
      <x:c r="C320" s="2" t="n">
        <x:v>39</x:v>
      </x:c>
      <x:c r="D320" s="14" t="n">
        <x:v>2.138467110889554e-7</x:v>
      </x:c>
      <x:c r="E320" s="14"/>
      <x:c r="F320" s="14"/>
      <x:c r="G320" s="14"/>
      <x:c r="H320" s="14"/>
      <x:c r="I320" s="2" t="str">
        <x:v>S016</x:v>
      </x:c>
    </x:row>
    <x:row r="321" ht="27" customHeight="1">
      <x:c r="A321" s="2" t="str">
        <x:v>ae_reconstruction_seed42</x:v>
      </x:c>
      <x:c r="B321" s="2" t="str">
        <x:v>2004</x:v>
      </x:c>
      <x:c r="C321" s="2" t="n">
        <x:v>40</x:v>
      </x:c>
      <x:c r="D321" s="14" t="n">
        <x:v>2.123348877547387e-7</x:v>
      </x:c>
      <x:c r="E321" s="14"/>
      <x:c r="F321" s="14"/>
      <x:c r="G321" s="14" t="n">
        <x:v>0</x:v>
      </x:c>
      <x:c r="H321" s="14"/>
      <x:c r="I321" s="2" t="str">
        <x:v>S016</x:v>
      </x:c>
    </x:row>
    <x:row r="322" ht="27" customHeight="1">
      <x:c r="A322" s="2" t="str">
        <x:v>ae_reconstruction_seed42</x:v>
      </x:c>
      <x:c r="B322" s="2" t="str">
        <x:v>2005</x:v>
      </x:c>
      <x:c r="C322" s="2" t="n">
        <x:v>1</x:v>
      </x:c>
      <x:c r="D322" s="14" t="n">
        <x:v>0.013590134672464439</x:v>
      </x:c>
      <x:c r="E322" s="14"/>
      <x:c r="F322" s="14"/>
      <x:c r="G322" s="14"/>
      <x:c r="H322" s="14"/>
      <x:c r="I322" s="2" t="str">
        <x:v>S017</x:v>
      </x:c>
    </x:row>
    <x:row r="323" ht="27" customHeight="1">
      <x:c r="A323" s="2" t="str">
        <x:v>ae_reconstruction_seed42</x:v>
      </x:c>
      <x:c r="B323" s="2" t="str">
        <x:v>2005</x:v>
      </x:c>
      <x:c r="C323" s="2" t="n">
        <x:v>2</x:v>
      </x:c>
      <x:c r="D323" s="14" t="n">
        <x:v>0.0004952829980464782</x:v>
      </x:c>
      <x:c r="E323" s="14"/>
      <x:c r="F323" s="14"/>
      <x:c r="G323" s="14"/>
      <x:c r="H323" s="14"/>
      <x:c r="I323" s="2" t="str">
        <x:v>S017</x:v>
      </x:c>
    </x:row>
    <x:row r="324" ht="27" customHeight="1">
      <x:c r="A324" s="2" t="str">
        <x:v>ae_reconstruction_seed42</x:v>
      </x:c>
      <x:c r="B324" s="2" t="str">
        <x:v>2005</x:v>
      </x:c>
      <x:c r="C324" s="2" t="n">
        <x:v>3</x:v>
      </x:c>
      <x:c r="D324" s="14" t="n">
        <x:v>0.00008986941825021974</x:v>
      </x:c>
      <x:c r="E324" s="14"/>
      <x:c r="F324" s="14"/>
      <x:c r="G324" s="14"/>
      <x:c r="H324" s="14"/>
      <x:c r="I324" s="2" t="str">
        <x:v>S017</x:v>
      </x:c>
    </x:row>
    <x:row r="325" ht="27" customHeight="1">
      <x:c r="A325" s="2" t="str">
        <x:v>ae_reconstruction_seed42</x:v>
      </x:c>
      <x:c r="B325" s="2" t="str">
        <x:v>2005</x:v>
      </x:c>
      <x:c r="C325" s="2" t="n">
        <x:v>4</x:v>
      </x:c>
      <x:c r="D325" s="14" t="n">
        <x:v>0.000022014279916286747</x:v>
      </x:c>
      <x:c r="E325" s="14"/>
      <x:c r="F325" s="14"/>
      <x:c r="G325" s="14"/>
      <x:c r="H325" s="14"/>
      <x:c r="I325" s="2" t="str">
        <x:v>S017</x:v>
      </x:c>
    </x:row>
    <x:row r="326" ht="27" customHeight="1">
      <x:c r="A326" s="2" t="str">
        <x:v>ae_reconstruction_seed42</x:v>
      </x:c>
      <x:c r="B326" s="2" t="str">
        <x:v>2005</x:v>
      </x:c>
      <x:c r="C326" s="2" t="n">
        <x:v>5</x:v>
      </x:c>
      <x:c r="D326" s="14" t="n">
        <x:v>0.000008461727952420229</x:v>
      </x:c>
      <x:c r="E326" s="14"/>
      <x:c r="F326" s="14"/>
      <x:c r="G326" s="14" t="n">
        <x:v>0.8327321327658244</x:v>
      </x:c>
      <x:c r="H326" s="14"/>
      <x:c r="I326" s="2" t="str">
        <x:v>S017</x:v>
      </x:c>
    </x:row>
    <x:row r="327" ht="27" customHeight="1">
      <x:c r="A327" s="2" t="str">
        <x:v>ae_reconstruction_seed42</x:v>
      </x:c>
      <x:c r="B327" s="2" t="str">
        <x:v>2005</x:v>
      </x:c>
      <x:c r="C327" s="2" t="n">
        <x:v>6</x:v>
      </x:c>
      <x:c r="D327" s="14" t="n">
        <x:v>0.00000462313934087367</x:v>
      </x:c>
      <x:c r="E327" s="14"/>
      <x:c r="F327" s="14"/>
      <x:c r="G327" s="14"/>
      <x:c r="H327" s="14"/>
      <x:c r="I327" s="2" t="str">
        <x:v>S017</x:v>
      </x:c>
    </x:row>
    <x:row r="328" ht="27" customHeight="1">
      <x:c r="A328" s="2" t="str">
        <x:v>ae_reconstruction_seed42</x:v>
      </x:c>
      <x:c r="B328" s="2" t="str">
        <x:v>2005</x:v>
      </x:c>
      <x:c r="C328" s="2" t="n">
        <x:v>7</x:v>
      </x:c>
      <x:c r="D328" s="14" t="n">
        <x:v>0.000003080292576020999</x:v>
      </x:c>
      <x:c r="E328" s="14"/>
      <x:c r="F328" s="14"/>
      <x:c r="G328" s="14"/>
      <x:c r="H328" s="14"/>
      <x:c r="I328" s="2" t="str">
        <x:v>S017</x:v>
      </x:c>
    </x:row>
    <x:row r="329" ht="27" customHeight="1">
      <x:c r="A329" s="2" t="str">
        <x:v>ae_reconstruction_seed42</x:v>
      </x:c>
      <x:c r="B329" s="2" t="str">
        <x:v>2005</x:v>
      </x:c>
      <x:c r="C329" s="2" t="n">
        <x:v>8</x:v>
      </x:c>
      <x:c r="D329" s="14" t="n">
        <x:v>0.0000022931720107519686</x:v>
      </x:c>
      <x:c r="E329" s="14"/>
      <x:c r="F329" s="14"/>
      <x:c r="G329" s="14"/>
      <x:c r="H329" s="14"/>
      <x:c r="I329" s="2" t="str">
        <x:v>S017</x:v>
      </x:c>
    </x:row>
    <x:row r="330" ht="27" customHeight="1">
      <x:c r="A330" s="2" t="str">
        <x:v>ae_reconstruction_seed42</x:v>
      </x:c>
      <x:c r="B330" s="2" t="str">
        <x:v>2005</x:v>
      </x:c>
      <x:c r="C330" s="2" t="n">
        <x:v>9</x:v>
      </x:c>
      <x:c r="D330" s="14" t="n">
        <x:v>0.0000020263445549528024</x:v>
      </x:c>
      <x:c r="E330" s="14"/>
      <x:c r="F330" s="14"/>
      <x:c r="G330" s="14"/>
      <x:c r="H330" s="14"/>
      <x:c r="I330" s="2" t="str">
        <x:v>S017</x:v>
      </x:c>
    </x:row>
    <x:row r="331" ht="27" customHeight="1">
      <x:c r="A331" s="2" t="str">
        <x:v>ae_reconstruction_seed42</x:v>
      </x:c>
      <x:c r="B331" s="2" t="str">
        <x:v>2005</x:v>
      </x:c>
      <x:c r="C331" s="2" t="n">
        <x:v>10</x:v>
      </x:c>
      <x:c r="D331" s="14" t="n">
        <x:v>0.0000015655887211318129</x:v>
      </x:c>
      <x:c r="E331" s="14"/>
      <x:c r="F331" s="14"/>
      <x:c r="G331" s="14" t="n">
        <x:v>0.8326579524018692</x:v>
      </x:c>
      <x:c r="H331" s="14"/>
      <x:c r="I331" s="2" t="str">
        <x:v>S017</x:v>
      </x:c>
    </x:row>
    <x:row r="332" ht="27" customHeight="1">
      <x:c r="A332" s="2" t="str">
        <x:v>ae_reconstruction_seed42</x:v>
      </x:c>
      <x:c r="B332" s="2" t="str">
        <x:v>2005</x:v>
      </x:c>
      <x:c r="C332" s="2" t="n">
        <x:v>11</x:v>
      </x:c>
      <x:c r="D332" s="14" t="n">
        <x:v>0.0000013064467683586616</x:v>
      </x:c>
      <x:c r="E332" s="14"/>
      <x:c r="F332" s="14"/>
      <x:c r="G332" s="14"/>
      <x:c r="H332" s="14"/>
      <x:c r="I332" s="2" t="str">
        <x:v>S017</x:v>
      </x:c>
    </x:row>
    <x:row r="333" ht="27" customHeight="1">
      <x:c r="A333" s="2" t="str">
        <x:v>ae_reconstruction_seed42</x:v>
      </x:c>
      <x:c r="B333" s="2" t="str">
        <x:v>2005</x:v>
      </x:c>
      <x:c r="C333" s="2" t="n">
        <x:v>12</x:v>
      </x:c>
      <x:c r="D333" s="14" t="n">
        <x:v>0.0000011241424329911212</x:v>
      </x:c>
      <x:c r="E333" s="14"/>
      <x:c r="F333" s="14"/>
      <x:c r="G333" s="14"/>
      <x:c r="H333" s="14"/>
      <x:c r="I333" s="2" t="str">
        <x:v>S017</x:v>
      </x:c>
    </x:row>
    <x:row r="334" ht="27" customHeight="1">
      <x:c r="A334" s="2" t="str">
        <x:v>ae_reconstruction_seed42</x:v>
      </x:c>
      <x:c r="B334" s="2" t="str">
        <x:v>2005</x:v>
      </x:c>
      <x:c r="C334" s="2" t="n">
        <x:v>13</x:v>
      </x:c>
      <x:c r="D334" s="14" t="n">
        <x:v>0.0000013043523741474913</x:v>
      </x:c>
      <x:c r="E334" s="14"/>
      <x:c r="F334" s="14"/>
      <x:c r="G334" s="14"/>
      <x:c r="H334" s="14"/>
      <x:c r="I334" s="2" t="str">
        <x:v>S017</x:v>
      </x:c>
    </x:row>
    <x:row r="335" ht="27" customHeight="1">
      <x:c r="A335" s="2" t="str">
        <x:v>ae_reconstruction_seed42</x:v>
      </x:c>
      <x:c r="B335" s="2" t="str">
        <x:v>2005</x:v>
      </x:c>
      <x:c r="C335" s="2" t="n">
        <x:v>14</x:v>
      </x:c>
      <x:c r="D335" s="14" t="n">
        <x:v>0.0000010100982803174285</x:v>
      </x:c>
      <x:c r="E335" s="14"/>
      <x:c r="F335" s="14"/>
      <x:c r="G335" s="14"/>
      <x:c r="H335" s="14"/>
      <x:c r="I335" s="2" t="str">
        <x:v>S017</x:v>
      </x:c>
    </x:row>
    <x:row r="336" ht="27" customHeight="1">
      <x:c r="A336" s="2" t="str">
        <x:v>ae_reconstruction_seed42</x:v>
      </x:c>
      <x:c r="B336" s="2" t="str">
        <x:v>2005</x:v>
      </x:c>
      <x:c r="C336" s="2" t="n">
        <x:v>15</x:v>
      </x:c>
      <x:c r="D336" s="14" t="n">
        <x:v>8.840087154481402e-7</x:v>
      </x:c>
      <x:c r="E336" s="14"/>
      <x:c r="F336" s="14"/>
      <x:c r="G336" s="14" t="n">
        <x:v>0.8326579524018692</x:v>
      </x:c>
      <x:c r="H336" s="14"/>
      <x:c r="I336" s="2" t="str">
        <x:v>S017</x:v>
      </x:c>
    </x:row>
    <x:row r="337" ht="27" customHeight="1">
      <x:c r="A337" s="2" t="str">
        <x:v>ae_reconstruction_seed42</x:v>
      </x:c>
      <x:c r="B337" s="2" t="str">
        <x:v>2005</x:v>
      </x:c>
      <x:c r="C337" s="2" t="n">
        <x:v>16</x:v>
      </x:c>
      <x:c r="D337" s="14" t="n">
        <x:v>8.666844237273034e-7</x:v>
      </x:c>
      <x:c r="E337" s="14"/>
      <x:c r="F337" s="14"/>
      <x:c r="G337" s="14"/>
      <x:c r="H337" s="14"/>
      <x:c r="I337" s="2" t="str">
        <x:v>S017</x:v>
      </x:c>
    </x:row>
    <x:row r="338" ht="27" customHeight="1">
      <x:c r="A338" s="2" t="str">
        <x:v>ae_reconstruction_seed42</x:v>
      </x:c>
      <x:c r="B338" s="2" t="str">
        <x:v>2005</x:v>
      </x:c>
      <x:c r="C338" s="2" t="n">
        <x:v>17</x:v>
      </x:c>
      <x:c r="D338" s="14" t="n">
        <x:v>7.379385805019679e-7</x:v>
      </x:c>
      <x:c r="E338" s="14"/>
      <x:c r="F338" s="14"/>
      <x:c r="G338" s="14"/>
      <x:c r="H338" s="14"/>
      <x:c r="I338" s="2" t="str">
        <x:v>S017</x:v>
      </x:c>
    </x:row>
    <x:row r="339" ht="27" customHeight="1">
      <x:c r="A339" s="2" t="str">
        <x:v>ae_reconstruction_seed42</x:v>
      </x:c>
      <x:c r="B339" s="2" t="str">
        <x:v>2005</x:v>
      </x:c>
      <x:c r="C339" s="2" t="n">
        <x:v>18</x:v>
      </x:c>
      <x:c r="D339" s="14" t="n">
        <x:v>6.593534965063055e-7</x:v>
      </x:c>
      <x:c r="E339" s="14"/>
      <x:c r="F339" s="14"/>
      <x:c r="G339" s="14"/>
      <x:c r="H339" s="14"/>
      <x:c r="I339" s="2" t="str">
        <x:v>S017</x:v>
      </x:c>
    </x:row>
    <x:row r="340" ht="27" customHeight="1">
      <x:c r="A340" s="2" t="str">
        <x:v>ae_reconstruction_seed42</x:v>
      </x:c>
      <x:c r="B340" s="2" t="str">
        <x:v>2005</x:v>
      </x:c>
      <x:c r="C340" s="2" t="n">
        <x:v>19</x:v>
      </x:c>
      <x:c r="D340" s="14" t="n">
        <x:v>5.996137094487705e-7</x:v>
      </x:c>
      <x:c r="E340" s="14"/>
      <x:c r="F340" s="14"/>
      <x:c r="G340" s="14"/>
      <x:c r="H340" s="14"/>
      <x:c r="I340" s="2" t="str">
        <x:v>S017</x:v>
      </x:c>
    </x:row>
    <x:row r="341" ht="27" customHeight="1">
      <x:c r="A341" s="2" t="str">
        <x:v>ae_reconstruction_seed42</x:v>
      </x:c>
      <x:c r="B341" s="2" t="str">
        <x:v>2005</x:v>
      </x:c>
      <x:c r="C341" s="2" t="n">
        <x:v>20</x:v>
      </x:c>
      <x:c r="D341" s="14" t="n">
        <x:v>5.456716589322993e-7</x:v>
      </x:c>
      <x:c r="E341" s="14"/>
      <x:c r="F341" s="14"/>
      <x:c r="G341" s="14" t="n">
        <x:v>0.8326579524018692</x:v>
      </x:c>
      <x:c r="H341" s="14"/>
      <x:c r="I341" s="2" t="str">
        <x:v>S017</x:v>
      </x:c>
    </x:row>
    <x:row r="342" ht="27" customHeight="1">
      <x:c r="A342" s="2" t="str">
        <x:v>ae_reconstruction_seed42</x:v>
      </x:c>
      <x:c r="B342" s="2" t="str">
        <x:v>2005</x:v>
      </x:c>
      <x:c r="C342" s="2" t="n">
        <x:v>21</x:v>
      </x:c>
      <x:c r="D342" s="14" t="n">
        <x:v>5.015968796401366e-7</x:v>
      </x:c>
      <x:c r="E342" s="14"/>
      <x:c r="F342" s="14"/>
      <x:c r="G342" s="14"/>
      <x:c r="H342" s="14"/>
      <x:c r="I342" s="2" t="str">
        <x:v>S017</x:v>
      </x:c>
    </x:row>
    <x:row r="343" ht="27" customHeight="1">
      <x:c r="A343" s="2" t="str">
        <x:v>ae_reconstruction_seed42</x:v>
      </x:c>
      <x:c r="B343" s="2" t="str">
        <x:v>2005</x:v>
      </x:c>
      <x:c r="C343" s="2" t="n">
        <x:v>22</x:v>
      </x:c>
      <x:c r="D343" s="14" t="n">
        <x:v>4.6248895960357005e-7</x:v>
      </x:c>
      <x:c r="E343" s="14"/>
      <x:c r="F343" s="14"/>
      <x:c r="G343" s="14"/>
      <x:c r="H343" s="14"/>
      <x:c r="I343" s="2" t="str">
        <x:v>S017</x:v>
      </x:c>
    </x:row>
    <x:row r="344" ht="27" customHeight="1">
      <x:c r="A344" s="2" t="str">
        <x:v>ae_reconstruction_seed42</x:v>
      </x:c>
      <x:c r="B344" s="2" t="str">
        <x:v>2005</x:v>
      </x:c>
      <x:c r="C344" s="2" t="n">
        <x:v>23</x:v>
      </x:c>
      <x:c r="D344" s="14" t="n">
        <x:v>4.2871334569349895e-7</x:v>
      </x:c>
      <x:c r="E344" s="14"/>
      <x:c r="F344" s="14"/>
      <x:c r="G344" s="14"/>
      <x:c r="H344" s="14"/>
      <x:c r="I344" s="2" t="str">
        <x:v>S017</x:v>
      </x:c>
    </x:row>
    <x:row r="345" ht="27" customHeight="1">
      <x:c r="A345" s="2" t="str">
        <x:v>ae_reconstruction_seed42</x:v>
      </x:c>
      <x:c r="B345" s="2" t="str">
        <x:v>2005</x:v>
      </x:c>
      <x:c r="C345" s="2" t="n">
        <x:v>24</x:v>
      </x:c>
      <x:c r="D345" s="14" t="n">
        <x:v>3.993436716900611e-7</x:v>
      </x:c>
      <x:c r="E345" s="14"/>
      <x:c r="F345" s="14"/>
      <x:c r="G345" s="14"/>
      <x:c r="H345" s="14"/>
      <x:c r="I345" s="2" t="str">
        <x:v>S017</x:v>
      </x:c>
    </x:row>
    <x:row r="346" ht="27" customHeight="1">
      <x:c r="A346" s="2" t="str">
        <x:v>ae_reconstruction_seed42</x:v>
      </x:c>
      <x:c r="B346" s="2" t="str">
        <x:v>2005</x:v>
      </x:c>
      <x:c r="C346" s="2" t="n">
        <x:v>25</x:v>
      </x:c>
      <x:c r="D346" s="14" t="n">
        <x:v>3.720628355590812e-7</x:v>
      </x:c>
      <x:c r="E346" s="14"/>
      <x:c r="F346" s="14"/>
      <x:c r="G346" s="14" t="n">
        <x:v>0.8326579524018692</x:v>
      </x:c>
      <x:c r="H346" s="14"/>
      <x:c r="I346" s="2" t="str">
        <x:v>S017</x:v>
      </x:c>
    </x:row>
    <x:row r="347" ht="27" customHeight="1">
      <x:c r="A347" s="2" t="str">
        <x:v>ae_reconstruction_seed42</x:v>
      </x:c>
      <x:c r="B347" s="2" t="str">
        <x:v>2005</x:v>
      </x:c>
      <x:c r="C347" s="2" t="n">
        <x:v>26</x:v>
      </x:c>
      <x:c r="D347" s="14" t="n">
        <x:v>3.484450006732576e-7</x:v>
      </x:c>
      <x:c r="E347" s="14"/>
      <x:c r="F347" s="14"/>
      <x:c r="G347" s="14"/>
      <x:c r="H347" s="14"/>
      <x:c r="I347" s="2" t="str">
        <x:v>S017</x:v>
      </x:c>
    </x:row>
    <x:row r="348" ht="27" customHeight="1">
      <x:c r="A348" s="2" t="str">
        <x:v>ae_reconstruction_seed42</x:v>
      </x:c>
      <x:c r="B348" s="2" t="str">
        <x:v>2005</x:v>
      </x:c>
      <x:c r="C348" s="2" t="n">
        <x:v>27</x:v>
      </x:c>
      <x:c r="D348" s="14" t="n">
        <x:v>3.276396866823381e-7</x:v>
      </x:c>
      <x:c r="E348" s="14"/>
      <x:c r="F348" s="14"/>
      <x:c r="G348" s="14"/>
      <x:c r="H348" s="14"/>
      <x:c r="I348" s="2" t="str">
        <x:v>S017</x:v>
      </x:c>
    </x:row>
    <x:row r="349" ht="27" customHeight="1">
      <x:c r="A349" s="2" t="str">
        <x:v>ae_reconstruction_seed42</x:v>
      </x:c>
      <x:c r="B349" s="2" t="str">
        <x:v>2005</x:v>
      </x:c>
      <x:c r="C349" s="2" t="n">
        <x:v>28</x:v>
      </x:c>
      <x:c r="D349" s="14" t="n">
        <x:v>3.0939254050681464e-7</x:v>
      </x:c>
      <x:c r="E349" s="14"/>
      <x:c r="F349" s="14"/>
      <x:c r="G349" s="14"/>
      <x:c r="H349" s="14"/>
      <x:c r="I349" s="2" t="str">
        <x:v>S017</x:v>
      </x:c>
    </x:row>
    <x:row r="350" ht="27" customHeight="1">
      <x:c r="A350" s="2" t="str">
        <x:v>ae_reconstruction_seed42</x:v>
      </x:c>
      <x:c r="B350" s="2" t="str">
        <x:v>2005</x:v>
      </x:c>
      <x:c r="C350" s="2" t="n">
        <x:v>29</x:v>
      </x:c>
      <x:c r="D350" s="14" t="n">
        <x:v>2.936468129115664e-7</x:v>
      </x:c>
      <x:c r="E350" s="14"/>
      <x:c r="F350" s="14"/>
      <x:c r="G350" s="14"/>
      <x:c r="H350" s="14"/>
      <x:c r="I350" s="2" t="str">
        <x:v>S017</x:v>
      </x:c>
    </x:row>
    <x:row r="351" ht="27" customHeight="1">
      <x:c r="A351" s="2" t="str">
        <x:v>ae_reconstruction_seed42</x:v>
      </x:c>
      <x:c r="B351" s="2" t="str">
        <x:v>2005</x:v>
      </x:c>
      <x:c r="C351" s="2" t="n">
        <x:v>30</x:v>
      </x:c>
      <x:c r="D351" s="14" t="n">
        <x:v>2.792873937528483e-7</x:v>
      </x:c>
      <x:c r="E351" s="14"/>
      <x:c r="F351" s="14"/>
      <x:c r="G351" s="14" t="n">
        <x:v>0.8326579524018692</x:v>
      </x:c>
      <x:c r="H351" s="14"/>
      <x:c r="I351" s="2" t="str">
        <x:v>S017</x:v>
      </x:c>
    </x:row>
    <x:row r="352" ht="27" customHeight="1">
      <x:c r="A352" s="2" t="str">
        <x:v>ae_reconstruction_seed42</x:v>
      </x:c>
      <x:c r="B352" s="2" t="str">
        <x:v>2005</x:v>
      </x:c>
      <x:c r="C352" s="2" t="n">
        <x:v>31</x:v>
      </x:c>
      <x:c r="D352" s="14" t="n">
        <x:v>2.672165229219676e-7</x:v>
      </x:c>
      <x:c r="E352" s="14"/>
      <x:c r="F352" s="14"/>
      <x:c r="G352" s="14"/>
      <x:c r="H352" s="14"/>
      <x:c r="I352" s="2" t="str">
        <x:v>S017</x:v>
      </x:c>
    </x:row>
    <x:row r="353" ht="27" customHeight="1">
      <x:c r="A353" s="2" t="str">
        <x:v>ae_reconstruction_seed42</x:v>
      </x:c>
      <x:c r="B353" s="2" t="str">
        <x:v>2005</x:v>
      </x:c>
      <x:c r="C353" s="2" t="n">
        <x:v>32</x:v>
      </x:c>
      <x:c r="D353" s="14" t="n">
        <x:v>2.5671092648141027e-7</x:v>
      </x:c>
      <x:c r="E353" s="14"/>
      <x:c r="F353" s="14"/>
      <x:c r="G353" s="14"/>
      <x:c r="H353" s="14"/>
      <x:c r="I353" s="2" t="str">
        <x:v>S017</x:v>
      </x:c>
    </x:row>
    <x:row r="354" ht="27" customHeight="1">
      <x:c r="A354" s="2" t="str">
        <x:v>ae_reconstruction_seed42</x:v>
      </x:c>
      <x:c r="B354" s="2" t="str">
        <x:v>2005</x:v>
      </x:c>
      <x:c r="C354" s="2" t="n">
        <x:v>33</x:v>
      </x:c>
      <x:c r="D354" s="14" t="n">
        <x:v>2.4803071697332353e-7</x:v>
      </x:c>
      <x:c r="E354" s="14"/>
      <x:c r="F354" s="14"/>
      <x:c r="G354" s="14"/>
      <x:c r="H354" s="14"/>
      <x:c r="I354" s="2" t="str">
        <x:v>S017</x:v>
      </x:c>
    </x:row>
    <x:row r="355" ht="27" customHeight="1">
      <x:c r="A355" s="2" t="str">
        <x:v>ae_reconstruction_seed42</x:v>
      </x:c>
      <x:c r="B355" s="2" t="str">
        <x:v>2005</x:v>
      </x:c>
      <x:c r="C355" s="2" t="n">
        <x:v>34</x:v>
      </x:c>
      <x:c r="D355" s="14" t="n">
        <x:v>2.4036918514221507e-7</x:v>
      </x:c>
      <x:c r="E355" s="14"/>
      <x:c r="F355" s="14"/>
      <x:c r="G355" s="14"/>
      <x:c r="H355" s="14"/>
      <x:c r="I355" s="2" t="str">
        <x:v>S017</x:v>
      </x:c>
    </x:row>
    <x:row r="356" ht="27" customHeight="1">
      <x:c r="A356" s="2" t="str">
        <x:v>ae_reconstruction_seed42</x:v>
      </x:c>
      <x:c r="B356" s="2" t="str">
        <x:v>2005</x:v>
      </x:c>
      <x:c r="C356" s="2" t="n">
        <x:v>35</x:v>
      </x:c>
      <x:c r="D356" s="14" t="n">
        <x:v>2.338535204874691e-7</x:v>
      </x:c>
      <x:c r="E356" s="14"/>
      <x:c r="F356" s="14"/>
      <x:c r="G356" s="14" t="n">
        <x:v>0.8326579524018692</x:v>
      </x:c>
      <x:c r="H356" s="14"/>
      <x:c r="I356" s="2" t="str">
        <x:v>S017</x:v>
      </x:c>
    </x:row>
    <x:row r="357" ht="27" customHeight="1">
      <x:c r="A357" s="2" t="str">
        <x:v>ae_reconstruction_seed42</x:v>
      </x:c>
      <x:c r="B357" s="2" t="str">
        <x:v>2005</x:v>
      </x:c>
      <x:c r="C357" s="2" t="n">
        <x:v>36</x:v>
      </x:c>
      <x:c r="D357" s="14" t="n">
        <x:v>2.2860546451706736e-7</x:v>
      </x:c>
      <x:c r="E357" s="14"/>
      <x:c r="F357" s="14"/>
      <x:c r="G357" s="14"/>
      <x:c r="H357" s="14"/>
      <x:c r="I357" s="2" t="str">
        <x:v>S017</x:v>
      </x:c>
    </x:row>
    <x:row r="358" ht="27" customHeight="1">
      <x:c r="A358" s="2" t="str">
        <x:v>ae_reconstruction_seed42</x:v>
      </x:c>
      <x:c r="B358" s="2" t="str">
        <x:v>2005</x:v>
      </x:c>
      <x:c r="C358" s="2" t="n">
        <x:v>37</x:v>
      </x:c>
      <x:c r="D358" s="14" t="n">
        <x:v>2.245029080157984e-7</x:v>
      </x:c>
      <x:c r="E358" s="14"/>
      <x:c r="F358" s="14"/>
      <x:c r="G358" s="14"/>
      <x:c r="H358" s="14"/>
      <x:c r="I358" s="2" t="str">
        <x:v>S017</x:v>
      </x:c>
    </x:row>
    <x:row r="359" ht="27" customHeight="1">
      <x:c r="A359" s="2" t="str">
        <x:v>ae_reconstruction_seed42</x:v>
      </x:c>
      <x:c r="B359" s="2" t="str">
        <x:v>2005</x:v>
      </x:c>
      <x:c r="C359" s="2" t="n">
        <x:v>38</x:v>
      </x:c>
      <x:c r="D359" s="14" t="n">
        <x:v>2.2136056656450927e-7</x:v>
      </x:c>
      <x:c r="E359" s="14"/>
      <x:c r="F359" s="14"/>
      <x:c r="G359" s="14"/>
      <x:c r="H359" s="14"/>
      <x:c r="I359" s="2" t="str">
        <x:v>S017</x:v>
      </x:c>
    </x:row>
    <x:row r="360" ht="27" customHeight="1">
      <x:c r="A360" s="2" t="str">
        <x:v>ae_reconstruction_seed42</x:v>
      </x:c>
      <x:c r="B360" s="2" t="str">
        <x:v>2005</x:v>
      </x:c>
      <x:c r="C360" s="2" t="n">
        <x:v>39</x:v>
      </x:c>
      <x:c r="D360" s="14" t="n">
        <x:v>2.189364348033309e-7</x:v>
      </x:c>
      <x:c r="E360" s="14"/>
      <x:c r="F360" s="14"/>
      <x:c r="G360" s="14"/>
      <x:c r="H360" s="14"/>
      <x:c r="I360" s="2" t="str">
        <x:v>S017</x:v>
      </x:c>
    </x:row>
    <x:row r="361" ht="27" customHeight="1">
      <x:c r="A361" s="2" t="str">
        <x:v>ae_reconstruction_seed42</x:v>
      </x:c>
      <x:c r="B361" s="2" t="str">
        <x:v>2005</x:v>
      </x:c>
      <x:c r="C361" s="2" t="n">
        <x:v>40</x:v>
      </x:c>
      <x:c r="D361" s="14" t="n">
        <x:v>2.1719988221880903e-7</x:v>
      </x:c>
      <x:c r="E361" s="14"/>
      <x:c r="F361" s="14"/>
      <x:c r="G361" s="14" t="n">
        <x:v>0.8326579524018692</x:v>
      </x:c>
      <x:c r="H361" s="14"/>
      <x:c r="I361" s="2" t="str">
        <x:v>S017</x:v>
      </x:c>
    </x:row>
    <x:row r="362" ht="27" customHeight="1">
      <x:c r="A362" s="2" t="str">
        <x:v>ae_specialist_seed42_verified</x:v>
      </x:c>
      <x:c r="B362" s="2" t="str">
        <x:v>2003</x:v>
      </x:c>
      <x:c r="C362" s="2" t="n">
        <x:v>1</x:v>
      </x:c>
      <x:c r="D362" s="14" t="n">
        <x:v>9.99961611055997</x:v>
      </x:c>
      <x:c r="E362" s="14"/>
      <x:c r="F362" s="14"/>
      <x:c r="G362" s="14"/>
      <x:c r="H362" s="14"/>
      <x:c r="I362" s="2" t="str">
        <x:v>S020</x:v>
      </x:c>
    </x:row>
    <x:row r="363" ht="27" customHeight="1">
      <x:c r="A363" s="2" t="str">
        <x:v>ae_specialist_seed42_verified</x:v>
      </x:c>
      <x:c r="B363" s="2" t="str">
        <x:v>2003</x:v>
      </x:c>
      <x:c r="C363" s="2" t="n">
        <x:v>2</x:v>
      </x:c>
      <x:c r="D363" s="14" t="n">
        <x:v>9.656255954020732</x:v>
      </x:c>
      <x:c r="E363" s="14"/>
      <x:c r="F363" s="14"/>
      <x:c r="G363" s="14"/>
      <x:c r="H363" s="14"/>
      <x:c r="I363" s="2" t="str">
        <x:v>S020</x:v>
      </x:c>
    </x:row>
    <x:row r="364" ht="27" customHeight="1">
      <x:c r="A364" s="2" t="str">
        <x:v>ae_specialist_seed42_verified</x:v>
      </x:c>
      <x:c r="B364" s="2" t="str">
        <x:v>2003</x:v>
      </x:c>
      <x:c r="C364" s="2" t="n">
        <x:v>3</x:v>
      </x:c>
      <x:c r="D364" s="14" t="n">
        <x:v>9.23932630324381</x:v>
      </x:c>
      <x:c r="E364" s="14"/>
      <x:c r="F364" s="14"/>
      <x:c r="G364" s="14"/>
      <x:c r="H364" s="14"/>
      <x:c r="I364" s="2" t="str">
        <x:v>S020</x:v>
      </x:c>
    </x:row>
    <x:row r="365" ht="27" customHeight="1">
      <x:c r="A365" s="2" t="str">
        <x:v>ae_specialist_seed42_verified</x:v>
      </x:c>
      <x:c r="B365" s="2" t="str">
        <x:v>2003</x:v>
      </x:c>
      <x:c r="C365" s="2" t="n">
        <x:v>4</x:v>
      </x:c>
      <x:c r="D365" s="14" t="n">
        <x:v>9.14934283246778</x:v>
      </x:c>
      <x:c r="E365" s="14"/>
      <x:c r="F365" s="14"/>
      <x:c r="G365" s="14"/>
      <x:c r="H365" s="14"/>
      <x:c r="I365" s="2" t="str">
        <x:v>S020</x:v>
      </x:c>
    </x:row>
    <x:row r="366" ht="27" customHeight="1">
      <x:c r="A366" s="2" t="str">
        <x:v>ae_specialist_seed42_verified</x:v>
      </x:c>
      <x:c r="B366" s="2" t="str">
        <x:v>2003</x:v>
      </x:c>
      <x:c r="C366" s="2" t="n">
        <x:v>5</x:v>
      </x:c>
      <x:c r="D366" s="14" t="n">
        <x:v>8.905187421161994</x:v>
      </x:c>
      <x:c r="E366" s="14"/>
      <x:c r="F366" s="14"/>
      <x:c r="G366" s="14" t="n">
        <x:v>0.9090909090909091</x:v>
      </x:c>
      <x:c r="H366" s="14"/>
      <x:c r="I366" s="2" t="str">
        <x:v>S020</x:v>
      </x:c>
    </x:row>
    <x:row r="367" ht="27" customHeight="1">
      <x:c r="A367" s="2" t="str">
        <x:v>ae_specialist_seed42_verified</x:v>
      </x:c>
      <x:c r="B367" s="2" t="str">
        <x:v>2003</x:v>
      </x:c>
      <x:c r="C367" s="2" t="n">
        <x:v>6</x:v>
      </x:c>
      <x:c r="D367" s="14" t="n">
        <x:v>8.704322701914629</x:v>
      </x:c>
      <x:c r="E367" s="14"/>
      <x:c r="F367" s="14"/>
      <x:c r="G367" s="14"/>
      <x:c r="H367" s="14"/>
      <x:c r="I367" s="2" t="str">
        <x:v>S020</x:v>
      </x:c>
    </x:row>
    <x:row r="368" ht="27" customHeight="1">
      <x:c r="A368" s="2" t="str">
        <x:v>ae_specialist_seed42_verified</x:v>
      </x:c>
      <x:c r="B368" s="2" t="str">
        <x:v>2003</x:v>
      </x:c>
      <x:c r="C368" s="2" t="n">
        <x:v>7</x:v>
      </x:c>
      <x:c r="D368" s="14" t="n">
        <x:v>8.603993572746427</x:v>
      </x:c>
      <x:c r="E368" s="14"/>
      <x:c r="F368" s="14"/>
      <x:c r="G368" s="14"/>
      <x:c r="H368" s="14"/>
      <x:c r="I368" s="2" t="str">
        <x:v>S020</x:v>
      </x:c>
    </x:row>
    <x:row r="369" ht="27" customHeight="1">
      <x:c r="A369" s="2" t="str">
        <x:v>ae_specialist_seed42_verified</x:v>
      </x:c>
      <x:c r="B369" s="2" t="str">
        <x:v>2003</x:v>
      </x:c>
      <x:c r="C369" s="2" t="n">
        <x:v>8</x:v>
      </x:c>
      <x:c r="D369" s="14" t="n">
        <x:v>8.520270046132424</x:v>
      </x:c>
      <x:c r="E369" s="14"/>
      <x:c r="F369" s="14"/>
      <x:c r="G369" s="14"/>
      <x:c r="H369" s="14"/>
      <x:c r="I369" s="2" t="str">
        <x:v>S020</x:v>
      </x:c>
    </x:row>
    <x:row r="370" ht="27" customHeight="1">
      <x:c r="A370" s="2" t="str">
        <x:v>ae_specialist_seed42_verified</x:v>
      </x:c>
      <x:c r="B370" s="2" t="str">
        <x:v>2003</x:v>
      </x:c>
      <x:c r="C370" s="2" t="n">
        <x:v>9</x:v>
      </x:c>
      <x:c r="D370" s="14" t="n">
        <x:v>8.37208198856663</x:v>
      </x:c>
      <x:c r="E370" s="14"/>
      <x:c r="F370" s="14"/>
      <x:c r="G370" s="14"/>
      <x:c r="H370" s="14"/>
      <x:c r="I370" s="2" t="str">
        <x:v>S020</x:v>
      </x:c>
    </x:row>
    <x:row r="371" ht="27" customHeight="1">
      <x:c r="A371" s="2" t="str">
        <x:v>ae_specialist_seed42_verified</x:v>
      </x:c>
      <x:c r="B371" s="2" t="str">
        <x:v>2003</x:v>
      </x:c>
      <x:c r="C371" s="2" t="n">
        <x:v>10</x:v>
      </x:c>
      <x:c r="D371" s="14" t="n">
        <x:v>8.273903505744684</x:v>
      </x:c>
      <x:c r="E371" s="14"/>
      <x:c r="F371" s="14"/>
      <x:c r="G371" s="14" t="n">
        <x:v>0.9996123048611332</x:v>
      </x:c>
      <x:c r="H371" s="14"/>
      <x:c r="I371" s="2" t="str">
        <x:v>S020</x:v>
      </x:c>
    </x:row>
    <x:row r="372" ht="27" customHeight="1">
      <x:c r="A372" s="2" t="str">
        <x:v>ae_specialist_seed42_verified</x:v>
      </x:c>
      <x:c r="B372" s="2" t="str">
        <x:v>2003</x:v>
      </x:c>
      <x:c r="C372" s="2" t="n">
        <x:v>11</x:v>
      </x:c>
      <x:c r="D372" s="14" t="n">
        <x:v>8.058181256600067</x:v>
      </x:c>
      <x:c r="E372" s="14"/>
      <x:c r="F372" s="14"/>
      <x:c r="G372" s="14"/>
      <x:c r="H372" s="14"/>
      <x:c r="I372" s="2" t="str">
        <x:v>S020</x:v>
      </x:c>
    </x:row>
    <x:row r="373" ht="27" customHeight="1">
      <x:c r="A373" s="2" t="str">
        <x:v>ae_specialist_seed42_verified</x:v>
      </x:c>
      <x:c r="B373" s="2" t="str">
        <x:v>2003</x:v>
      </x:c>
      <x:c r="C373" s="2" t="n">
        <x:v>12</x:v>
      </x:c>
      <x:c r="D373" s="14" t="n">
        <x:v>7.753470704362199</x:v>
      </x:c>
      <x:c r="E373" s="14"/>
      <x:c r="F373" s="14"/>
      <x:c r="G373" s="14"/>
      <x:c r="H373" s="14"/>
      <x:c r="I373" s="2" t="str">
        <x:v>S020</x:v>
      </x:c>
    </x:row>
    <x:row r="374" ht="27" customHeight="1">
      <x:c r="A374" s="2" t="str">
        <x:v>ae_specialist_seed42_verified</x:v>
      </x:c>
      <x:c r="B374" s="2" t="str">
        <x:v>2003</x:v>
      </x:c>
      <x:c r="C374" s="2" t="n">
        <x:v>13</x:v>
      </x:c>
      <x:c r="D374" s="14" t="n">
        <x:v>7.557006368156417</x:v>
      </x:c>
      <x:c r="E374" s="14"/>
      <x:c r="F374" s="14"/>
      <x:c r="G374" s="14"/>
      <x:c r="H374" s="14"/>
      <x:c r="I374" s="2" t="str">
        <x:v>S020</x:v>
      </x:c>
    </x:row>
    <x:row r="375" ht="27" customHeight="1">
      <x:c r="A375" s="2" t="str">
        <x:v>ae_specialist_seed42_verified</x:v>
      </x:c>
      <x:c r="B375" s="2" t="str">
        <x:v>2003</x:v>
      </x:c>
      <x:c r="C375" s="2" t="n">
        <x:v>14</x:v>
      </x:c>
      <x:c r="D375" s="14" t="n">
        <x:v>7.375532841142553</x:v>
      </x:c>
      <x:c r="E375" s="14"/>
      <x:c r="F375" s="14"/>
      <x:c r="G375" s="14"/>
      <x:c r="H375" s="14"/>
      <x:c r="I375" s="2" t="str">
        <x:v>S020</x:v>
      </x:c>
    </x:row>
    <x:row r="376" ht="27" customHeight="1">
      <x:c r="A376" s="2" t="str">
        <x:v>ae_specialist_seed42_verified</x:v>
      </x:c>
      <x:c r="B376" s="2" t="str">
        <x:v>2003</x:v>
      </x:c>
      <x:c r="C376" s="2" t="n">
        <x:v>15</x:v>
      </x:c>
      <x:c r="D376" s="14" t="n">
        <x:v>7.281541341234072</x:v>
      </x:c>
      <x:c r="E376" s="14"/>
      <x:c r="F376" s="14"/>
      <x:c r="G376" s="14" t="n">
        <x:v>0.7142857142857143</x:v>
      </x:c>
      <x:c r="H376" s="14"/>
      <x:c r="I376" s="2" t="str">
        <x:v>S020</x:v>
      </x:c>
    </x:row>
    <x:row r="377" ht="27" customHeight="1">
      <x:c r="A377" s="2" t="str">
        <x:v>ae_specialist_seed42_verified</x:v>
      </x:c>
      <x:c r="B377" s="2" t="str">
        <x:v>2003</x:v>
      </x:c>
      <x:c r="C377" s="2" t="n">
        <x:v>16</x:v>
      </x:c>
      <x:c r="D377" s="14" t="n">
        <x:v>7.166417966192007</x:v>
      </x:c>
      <x:c r="E377" s="14"/>
      <x:c r="F377" s="14"/>
      <x:c r="G377" s="14"/>
      <x:c r="H377" s="14"/>
      <x:c r="I377" s="2" t="str">
        <x:v>S020</x:v>
      </x:c>
    </x:row>
    <x:row r="378" ht="27" customHeight="1">
      <x:c r="A378" s="2" t="str">
        <x:v>ae_specialist_seed42_verified</x:v>
      </x:c>
      <x:c r="B378" s="2" t="str">
        <x:v>2003</x:v>
      </x:c>
      <x:c r="C378" s="2" t="n">
        <x:v>17</x:v>
      </x:c>
      <x:c r="D378" s="14" t="n">
        <x:v>6.982012081355227</x:v>
      </x:c>
      <x:c r="E378" s="14"/>
      <x:c r="F378" s="14"/>
      <x:c r="G378" s="14"/>
      <x:c r="H378" s="14"/>
      <x:c r="I378" s="2" t="str">
        <x:v>S020</x:v>
      </x:c>
    </x:row>
    <x:row r="379" ht="27" customHeight="1">
      <x:c r="A379" s="2" t="str">
        <x:v>ae_specialist_seed42_verified</x:v>
      </x:c>
      <x:c r="B379" s="2" t="str">
        <x:v>2003</x:v>
      </x:c>
      <x:c r="C379" s="2" t="n">
        <x:v>18</x:v>
      </x:c>
      <x:c r="D379" s="14" t="n">
        <x:v>6.884221731789187</x:v>
      </x:c>
      <x:c r="E379" s="14"/>
      <x:c r="F379" s="14"/>
      <x:c r="G379" s="14"/>
      <x:c r="H379" s="14"/>
      <x:c r="I379" s="2" t="str">
        <x:v>S020</x:v>
      </x:c>
    </x:row>
    <x:row r="380" ht="27" customHeight="1">
      <x:c r="A380" s="2" t="str">
        <x:v>ae_specialist_seed42_verified</x:v>
      </x:c>
      <x:c r="B380" s="2" t="str">
        <x:v>2003</x:v>
      </x:c>
      <x:c r="C380" s="2" t="n">
        <x:v>19</x:v>
      </x:c>
      <x:c r="D380" s="14" t="n">
        <x:v>6.828980614966594</x:v>
      </x:c>
      <x:c r="E380" s="14"/>
      <x:c r="F380" s="14"/>
      <x:c r="G380" s="14"/>
      <x:c r="H380" s="14"/>
      <x:c r="I380" s="2" t="str">
        <x:v>S020</x:v>
      </x:c>
    </x:row>
    <x:row r="381" ht="27" customHeight="1">
      <x:c r="A381" s="2" t="str">
        <x:v>ae_specialist_seed42_verified</x:v>
      </x:c>
      <x:c r="B381" s="2" t="str">
        <x:v>2003</x:v>
      </x:c>
      <x:c r="C381" s="2" t="n">
        <x:v>20</x:v>
      </x:c>
      <x:c r="D381" s="14" t="n">
        <x:v>6.706828981354953</x:v>
      </x:c>
      <x:c r="E381" s="14"/>
      <x:c r="F381" s="14"/>
      <x:c r="G381" s="14" t="n">
        <x:v>0.7885892160199914</x:v>
      </x:c>
      <x:c r="H381" s="14"/>
      <x:c r="I381" s="2" t="str">
        <x:v>S020</x:v>
      </x:c>
    </x:row>
    <x:row r="382" ht="27" customHeight="1">
      <x:c r="A382" s="2" t="str">
        <x:v>ae_specialist_seed42_verified</x:v>
      </x:c>
      <x:c r="B382" s="2" t="str">
        <x:v>2003</x:v>
      </x:c>
      <x:c r="C382" s="2" t="n">
        <x:v>21</x:v>
      </x:c>
      <x:c r="D382" s="14" t="n">
        <x:v>6.623080028592452</x:v>
      </x:c>
      <x:c r="E382" s="14"/>
      <x:c r="F382" s="14"/>
      <x:c r="G382" s="14"/>
      <x:c r="H382" s="14"/>
      <x:c r="I382" s="2" t="str">
        <x:v>S020</x:v>
      </x:c>
    </x:row>
    <x:row r="383" ht="27" customHeight="1">
      <x:c r="A383" s="2" t="str">
        <x:v>ae_specialist_seed42_verified</x:v>
      </x:c>
      <x:c r="B383" s="2" t="str">
        <x:v>2003</x:v>
      </x:c>
      <x:c r="C383" s="2" t="n">
        <x:v>22</x:v>
      </x:c>
      <x:c r="D383" s="14" t="n">
        <x:v>6.552015142078553</x:v>
      </x:c>
      <x:c r="E383" s="14"/>
      <x:c r="F383" s="14"/>
      <x:c r="G383" s="14"/>
      <x:c r="H383" s="14"/>
      <x:c r="I383" s="2" t="str">
        <x:v>S020</x:v>
      </x:c>
    </x:row>
    <x:row r="384" ht="27" customHeight="1">
      <x:c r="A384" s="2" t="str">
        <x:v>ae_specialist_seed42_verified</x:v>
      </x:c>
      <x:c r="B384" s="2" t="str">
        <x:v>2003</x:v>
      </x:c>
      <x:c r="C384" s="2" t="n">
        <x:v>23</x:v>
      </x:c>
      <x:c r="D384" s="14" t="n">
        <x:v>6.521755122720455</x:v>
      </x:c>
      <x:c r="E384" s="14"/>
      <x:c r="F384" s="14"/>
      <x:c r="G384" s="14"/>
      <x:c r="H384" s="14"/>
      <x:c r="I384" s="2" t="str">
        <x:v>S020</x:v>
      </x:c>
    </x:row>
    <x:row r="385" ht="27" customHeight="1">
      <x:c r="A385" s="2" t="str">
        <x:v>ae_specialist_seed42_verified</x:v>
      </x:c>
      <x:c r="B385" s="2" t="str">
        <x:v>2003</x:v>
      </x:c>
      <x:c r="C385" s="2" t="n">
        <x:v>24</x:v>
      </x:c>
      <x:c r="D385" s="14" t="n">
        <x:v>6.421442065385243</x:v>
      </x:c>
      <x:c r="E385" s="14"/>
      <x:c r="F385" s="14"/>
      <x:c r="G385" s="14"/>
      <x:c r="H385" s="14"/>
      <x:c r="I385" s="2" t="str">
        <x:v>S020</x:v>
      </x:c>
    </x:row>
    <x:row r="386" ht="27" customHeight="1">
      <x:c r="A386" s="2" t="str">
        <x:v>ae_specialist_seed42_verified</x:v>
      </x:c>
      <x:c r="B386" s="2" t="str">
        <x:v>2003</x:v>
      </x:c>
      <x:c r="C386" s="2" t="n">
        <x:v>25</x:v>
      </x:c>
      <x:c r="D386" s="14" t="n">
        <x:v>6.392969024886695</x:v>
      </x:c>
      <x:c r="E386" s="14"/>
      <x:c r="F386" s="14"/>
      <x:c r="G386" s="14" t="n">
        <x:v>0.7142857142857143</x:v>
      </x:c>
      <x:c r="H386" s="14"/>
      <x:c r="I386" s="2" t="str">
        <x:v>S020</x:v>
      </x:c>
    </x:row>
    <x:row r="387" ht="27" customHeight="1">
      <x:c r="A387" s="2" t="str">
        <x:v>ae_specialist_seed42_verified</x:v>
      </x:c>
      <x:c r="B387" s="2" t="str">
        <x:v>2003</x:v>
      </x:c>
      <x:c r="C387" s="2" t="n">
        <x:v>26</x:v>
      </x:c>
      <x:c r="D387" s="14" t="n">
        <x:v>6.332493165446686</x:v>
      </x:c>
      <x:c r="E387" s="14"/>
      <x:c r="F387" s="14"/>
      <x:c r="G387" s="14"/>
      <x:c r="H387" s="14"/>
      <x:c r="I387" s="2" t="str">
        <x:v>S020</x:v>
      </x:c>
    </x:row>
    <x:row r="388" ht="27" customHeight="1">
      <x:c r="A388" s="2" t="str">
        <x:v>ae_specialist_seed42_verified</x:v>
      </x:c>
      <x:c r="B388" s="2" t="str">
        <x:v>2003</x:v>
      </x:c>
      <x:c r="C388" s="2" t="n">
        <x:v>27</x:v>
      </x:c>
      <x:c r="D388" s="14" t="n">
        <x:v>6.314601248942473</x:v>
      </x:c>
      <x:c r="E388" s="14"/>
      <x:c r="F388" s="14"/>
      <x:c r="G388" s="14"/>
      <x:c r="H388" s="14"/>
      <x:c r="I388" s="2" t="str">
        <x:v>S020</x:v>
      </x:c>
    </x:row>
    <x:row r="389" ht="27" customHeight="1">
      <x:c r="A389" s="2" t="str">
        <x:v>ae_specialist_seed42_verified</x:v>
      </x:c>
      <x:c r="B389" s="2" t="str">
        <x:v>2003</x:v>
      </x:c>
      <x:c r="C389" s="2" t="n">
        <x:v>28</x:v>
      </x:c>
      <x:c r="D389" s="14" t="n">
        <x:v>6.239408388461746</x:v>
      </x:c>
      <x:c r="E389" s="14"/>
      <x:c r="F389" s="14"/>
      <x:c r="G389" s="14"/>
      <x:c r="H389" s="14"/>
      <x:c r="I389" s="2" t="str">
        <x:v>S020</x:v>
      </x:c>
    </x:row>
    <x:row r="390" ht="27" customHeight="1">
      <x:c r="A390" s="2" t="str">
        <x:v>ae_specialist_seed42_verified</x:v>
      </x:c>
      <x:c r="B390" s="2" t="str">
        <x:v>2003</x:v>
      </x:c>
      <x:c r="C390" s="2" t="n">
        <x:v>29</x:v>
      </x:c>
      <x:c r="D390" s="14" t="n">
        <x:v>6.212657054555599</x:v>
      </x:c>
      <x:c r="E390" s="14"/>
      <x:c r="F390" s="14"/>
      <x:c r="G390" s="14"/>
      <x:c r="H390" s="14"/>
      <x:c r="I390" s="2" t="str">
        <x:v>S020</x:v>
      </x:c>
    </x:row>
    <x:row r="391" ht="27" customHeight="1">
      <x:c r="A391" s="2" t="str">
        <x:v>ae_specialist_seed42_verified</x:v>
      </x:c>
      <x:c r="B391" s="2" t="str">
        <x:v>2003</x:v>
      </x:c>
      <x:c r="C391" s="2" t="n">
        <x:v>30</x:v>
      </x:c>
      <x:c r="D391" s="14" t="n">
        <x:v>6.163182463586722</x:v>
      </x:c>
      <x:c r="E391" s="14"/>
      <x:c r="F391" s="14"/>
      <x:c r="G391" s="14" t="n">
        <x:v>0.7142857142857143</x:v>
      </x:c>
      <x:c r="H391" s="14"/>
      <x:c r="I391" s="2" t="str">
        <x:v>S020</x:v>
      </x:c>
    </x:row>
    <x:row r="392" ht="27" customHeight="1">
      <x:c r="A392" s="2" t="str">
        <x:v>ae_specialist_seed42_verified</x:v>
      </x:c>
      <x:c r="B392" s="2" t="str">
        <x:v>2003</x:v>
      </x:c>
      <x:c r="C392" s="2" t="n">
        <x:v>31</x:v>
      </x:c>
      <x:c r="D392" s="14" t="n">
        <x:v>6.157578479207459</x:v>
      </x:c>
      <x:c r="E392" s="14"/>
      <x:c r="F392" s="14"/>
      <x:c r="G392" s="14"/>
      <x:c r="H392" s="14"/>
      <x:c r="I392" s="2" t="str">
        <x:v>S020</x:v>
      </x:c>
    </x:row>
    <x:row r="393" ht="27" customHeight="1">
      <x:c r="A393" s="2" t="str">
        <x:v>ae_specialist_seed42_verified</x:v>
      </x:c>
      <x:c r="B393" s="2" t="str">
        <x:v>2003</x:v>
      </x:c>
      <x:c r="C393" s="2" t="n">
        <x:v>32</x:v>
      </x:c>
      <x:c r="D393" s="14" t="n">
        <x:v>6.111085717132964</x:v>
      </x:c>
      <x:c r="E393" s="14"/>
      <x:c r="F393" s="14"/>
      <x:c r="G393" s="14"/>
      <x:c r="H393" s="14"/>
      <x:c r="I393" s="2" t="str">
        <x:v>S020</x:v>
      </x:c>
    </x:row>
    <x:row r="394" ht="27" customHeight="1">
      <x:c r="A394" s="2" t="str">
        <x:v>ae_specialist_seed42_verified</x:v>
      </x:c>
      <x:c r="B394" s="2" t="str">
        <x:v>2003</x:v>
      </x:c>
      <x:c r="C394" s="2" t="n">
        <x:v>33</x:v>
      </x:c>
      <x:c r="D394" s="14" t="n">
        <x:v>6.105101737686977</x:v>
      </x:c>
      <x:c r="E394" s="14"/>
      <x:c r="F394" s="14"/>
      <x:c r="G394" s="14"/>
      <x:c r="H394" s="14"/>
      <x:c r="I394" s="2" t="str">
        <x:v>S020</x:v>
      </x:c>
    </x:row>
    <x:row r="395" ht="27" customHeight="1">
      <x:c r="A395" s="2" t="str">
        <x:v>ae_specialist_seed42_verified</x:v>
      </x:c>
      <x:c r="B395" s="2" t="str">
        <x:v>2003</x:v>
      </x:c>
      <x:c r="C395" s="2" t="n">
        <x:v>34</x:v>
      </x:c>
      <x:c r="D395" s="14" t="n">
        <x:v>6.075951205978783</x:v>
      </x:c>
      <x:c r="E395" s="14"/>
      <x:c r="F395" s="14"/>
      <x:c r="G395" s="14"/>
      <x:c r="H395" s="14"/>
      <x:c r="I395" s="2" t="str">
        <x:v>S020</x:v>
      </x:c>
    </x:row>
    <x:row r="396" ht="27" customHeight="1">
      <x:c r="A396" s="2" t="str">
        <x:v>ae_specialist_seed42_verified</x:v>
      </x:c>
      <x:c r="B396" s="2" t="str">
        <x:v>2003</x:v>
      </x:c>
      <x:c r="C396" s="2" t="n">
        <x:v>35</x:v>
      </x:c>
      <x:c r="D396" s="14" t="n">
        <x:v>6.092416612225958</x:v>
      </x:c>
      <x:c r="E396" s="14"/>
      <x:c r="F396" s="14"/>
      <x:c r="G396" s="14" t="n">
        <x:v>0.7883446811917861</x:v>
      </x:c>
      <x:c r="H396" s="14"/>
      <x:c r="I396" s="2" t="str">
        <x:v>S020</x:v>
      </x:c>
    </x:row>
    <x:row r="397" ht="27" customHeight="1">
      <x:c r="A397" s="2" t="str">
        <x:v>ae_specialist_seed42_verified</x:v>
      </x:c>
      <x:c r="B397" s="2" t="str">
        <x:v>2003</x:v>
      </x:c>
      <x:c r="C397" s="2" t="n">
        <x:v>36</x:v>
      </x:c>
      <x:c r="D397" s="14" t="n">
        <x:v>6.044307047124324</x:v>
      </x:c>
      <x:c r="E397" s="14"/>
      <x:c r="F397" s="14"/>
      <x:c r="G397" s="14"/>
      <x:c r="H397" s="14"/>
      <x:c r="I397" s="2" t="str">
        <x:v>S020</x:v>
      </x:c>
    </x:row>
    <x:row r="398" ht="27" customHeight="1">
      <x:c r="A398" s="2" t="str">
        <x:v>ae_specialist_seed42_verified</x:v>
      </x:c>
      <x:c r="B398" s="2" t="str">
        <x:v>2003</x:v>
      </x:c>
      <x:c r="C398" s="2" t="n">
        <x:v>37</x:v>
      </x:c>
      <x:c r="D398" s="14" t="n">
        <x:v>6.041446032012092</x:v>
      </x:c>
      <x:c r="E398" s="14"/>
      <x:c r="F398" s="14"/>
      <x:c r="G398" s="14"/>
      <x:c r="H398" s="14"/>
      <x:c r="I398" s="2" t="str">
        <x:v>S020</x:v>
      </x:c>
    </x:row>
    <x:row r="399" ht="27" customHeight="1">
      <x:c r="A399" s="2" t="str">
        <x:v>ae_specialist_seed42_verified</x:v>
      </x:c>
      <x:c r="B399" s="2" t="str">
        <x:v>2003</x:v>
      </x:c>
      <x:c r="C399" s="2" t="n">
        <x:v>38</x:v>
      </x:c>
      <x:c r="D399" s="14" t="n">
        <x:v>6.038387232404978</x:v>
      </x:c>
      <x:c r="E399" s="14"/>
      <x:c r="F399" s="14"/>
      <x:c r="G399" s="14"/>
      <x:c r="H399" s="14"/>
      <x:c r="I399" s="2" t="str">
        <x:v>S020</x:v>
      </x:c>
    </x:row>
    <x:row r="400" ht="27" customHeight="1">
      <x:c r="A400" s="2" t="str">
        <x:v>ae_specialist_seed42_verified</x:v>
      </x:c>
      <x:c r="B400" s="2" t="str">
        <x:v>2003</x:v>
      </x:c>
      <x:c r="C400" s="2" t="n">
        <x:v>39</x:v>
      </x:c>
      <x:c r="D400" s="14" t="n">
        <x:v>6.04058840807726</x:v>
      </x:c>
      <x:c r="E400" s="14"/>
      <x:c r="F400" s="14"/>
      <x:c r="G400" s="14"/>
      <x:c r="H400" s="14"/>
      <x:c r="I400" s="2" t="str">
        <x:v>S020</x:v>
      </x:c>
    </x:row>
    <x:row r="401" ht="27" customHeight="1">
      <x:c r="A401" s="2" t="str">
        <x:v>ae_specialist_seed42_verified</x:v>
      </x:c>
      <x:c r="B401" s="2" t="str">
        <x:v>2003</x:v>
      </x:c>
      <x:c r="C401" s="2" t="n">
        <x:v>40</x:v>
      </x:c>
      <x:c r="D401" s="14" t="n">
        <x:v>6.024396639918654</x:v>
      </x:c>
      <x:c r="E401" s="14"/>
      <x:c r="F401" s="14"/>
      <x:c r="G401" s="14" t="n">
        <x:v>0.7142857142857143</x:v>
      </x:c>
      <x:c r="H401" s="14"/>
      <x:c r="I401" s="2" t="str">
        <x:v>S020</x:v>
      </x:c>
    </x:row>
    <x:row r="402" ht="27" customHeight="1">
      <x:c r="A402" s="2" t="str">
        <x:v>ae_specialist_seed42_verified</x:v>
      </x:c>
      <x:c r="B402" s="2" t="str">
        <x:v>2004</x:v>
      </x:c>
      <x:c r="C402" s="2" t="n">
        <x:v>1</x:v>
      </x:c>
      <x:c r="D402" s="14" t="n">
        <x:v>9.999733650161822</x:v>
      </x:c>
      <x:c r="E402" s="14"/>
      <x:c r="F402" s="14"/>
      <x:c r="G402" s="14"/>
      <x:c r="H402" s="14"/>
      <x:c r="I402" s="2" t="str">
        <x:v>S021</x:v>
      </x:c>
    </x:row>
    <x:row r="403" ht="27" customHeight="1">
      <x:c r="A403" s="2" t="str">
        <x:v>ae_specialist_seed42_verified</x:v>
      </x:c>
      <x:c r="B403" s="2" t="str">
        <x:v>2004</x:v>
      </x:c>
      <x:c r="C403" s="2" t="n">
        <x:v>2</x:v>
      </x:c>
      <x:c r="D403" s="14" t="n">
        <x:v>9.338690626371339</x:v>
      </x:c>
      <x:c r="E403" s="14"/>
      <x:c r="F403" s="14"/>
      <x:c r="G403" s="14"/>
      <x:c r="H403" s="14"/>
      <x:c r="I403" s="2" t="str">
        <x:v>S021</x:v>
      </x:c>
    </x:row>
    <x:row r="404" ht="27" customHeight="1">
      <x:c r="A404" s="2" t="str">
        <x:v>ae_specialist_seed42_verified</x:v>
      </x:c>
      <x:c r="B404" s="2" t="str">
        <x:v>2004</x:v>
      </x:c>
      <x:c r="C404" s="2" t="n">
        <x:v>3</x:v>
      </x:c>
      <x:c r="D404" s="14" t="n">
        <x:v>9.113962326003069</x:v>
      </x:c>
      <x:c r="E404" s="14"/>
      <x:c r="F404" s="14"/>
      <x:c r="G404" s="14"/>
      <x:c r="H404" s="14"/>
      <x:c r="I404" s="2" t="str">
        <x:v>S021</x:v>
      </x:c>
    </x:row>
    <x:row r="405" ht="27" customHeight="1">
      <x:c r="A405" s="2" t="str">
        <x:v>ae_specialist_seed42_verified</x:v>
      </x:c>
      <x:c r="B405" s="2" t="str">
        <x:v>2004</x:v>
      </x:c>
      <x:c r="C405" s="2" t="n">
        <x:v>4</x:v>
      </x:c>
      <x:c r="D405" s="14" t="n">
        <x:v>8.636989407989851</x:v>
      </x:c>
      <x:c r="E405" s="14"/>
      <x:c r="F405" s="14"/>
      <x:c r="G405" s="14"/>
      <x:c r="H405" s="14"/>
      <x:c r="I405" s="2" t="str">
        <x:v>S021</x:v>
      </x:c>
    </x:row>
    <x:row r="406" ht="27" customHeight="1">
      <x:c r="A406" s="2" t="str">
        <x:v>ae_specialist_seed42_verified</x:v>
      </x:c>
      <x:c r="B406" s="2" t="str">
        <x:v>2004</x:v>
      </x:c>
      <x:c r="C406" s="2" t="n">
        <x:v>5</x:v>
      </x:c>
      <x:c r="D406" s="14" t="n">
        <x:v>8.335410801747045</x:v>
      </x:c>
      <x:c r="E406" s="14"/>
      <x:c r="F406" s="14"/>
      <x:c r="G406" s="14" t="n">
        <x:v>0</x:v>
      </x:c>
      <x:c r="H406" s="14"/>
      <x:c r="I406" s="2" t="str">
        <x:v>S021</x:v>
      </x:c>
    </x:row>
    <x:row r="407" ht="27" customHeight="1">
      <x:c r="A407" s="2" t="str">
        <x:v>ae_specialist_seed42_verified</x:v>
      </x:c>
      <x:c r="B407" s="2" t="str">
        <x:v>2004</x:v>
      </x:c>
      <x:c r="C407" s="2" t="n">
        <x:v>6</x:v>
      </x:c>
      <x:c r="D407" s="14" t="n">
        <x:v>8.007957098498968</x:v>
      </x:c>
      <x:c r="E407" s="14"/>
      <x:c r="F407" s="14"/>
      <x:c r="G407" s="14"/>
      <x:c r="H407" s="14"/>
      <x:c r="I407" s="2" t="str">
        <x:v>S021</x:v>
      </x:c>
    </x:row>
    <x:row r="408" ht="27" customHeight="1">
      <x:c r="A408" s="2" t="str">
        <x:v>ae_specialist_seed42_verified</x:v>
      </x:c>
      <x:c r="B408" s="2" t="str">
        <x:v>2004</x:v>
      </x:c>
      <x:c r="C408" s="2" t="n">
        <x:v>7</x:v>
      </x:c>
      <x:c r="D408" s="14" t="n">
        <x:v>7.728286708761164</x:v>
      </x:c>
      <x:c r="E408" s="14"/>
      <x:c r="F408" s="14"/>
      <x:c r="G408" s="14"/>
      <x:c r="H408" s="14"/>
      <x:c r="I408" s="2" t="str">
        <x:v>S021</x:v>
      </x:c>
    </x:row>
    <x:row r="409" ht="27" customHeight="1">
      <x:c r="A409" s="2" t="str">
        <x:v>ae_specialist_seed42_verified</x:v>
      </x:c>
      <x:c r="B409" s="2" t="str">
        <x:v>2004</x:v>
      </x:c>
      <x:c r="C409" s="2" t="n">
        <x:v>8</x:v>
      </x:c>
      <x:c r="D409" s="14" t="n">
        <x:v>7.295234549834233</x:v>
      </x:c>
      <x:c r="E409" s="14"/>
      <x:c r="F409" s="14"/>
      <x:c r="G409" s="14"/>
      <x:c r="H409" s="14"/>
      <x:c r="I409" s="2" t="str">
        <x:v>S021</x:v>
      </x:c>
    </x:row>
    <x:row r="410" ht="27" customHeight="1">
      <x:c r="A410" s="2" t="str">
        <x:v>ae_specialist_seed42_verified</x:v>
      </x:c>
      <x:c r="B410" s="2" t="str">
        <x:v>2004</x:v>
      </x:c>
      <x:c r="C410" s="2" t="n">
        <x:v>9</x:v>
      </x:c>
      <x:c r="D410" s="14" t="n">
        <x:v>6.8848795990771245</x:v>
      </x:c>
      <x:c r="E410" s="14"/>
      <x:c r="F410" s="14"/>
      <x:c r="G410" s="14"/>
      <x:c r="H410" s="14"/>
      <x:c r="I410" s="2" t="str">
        <x:v>S021</x:v>
      </x:c>
    </x:row>
    <x:row r="411" ht="27" customHeight="1">
      <x:c r="A411" s="2" t="str">
        <x:v>ae_specialist_seed42_verified</x:v>
      </x:c>
      <x:c r="B411" s="2" t="str">
        <x:v>2004</x:v>
      </x:c>
      <x:c r="C411" s="2" t="n">
        <x:v>10</x:v>
      </x:c>
      <x:c r="D411" s="14" t="n">
        <x:v>6.625076504452106</x:v>
      </x:c>
      <x:c r="E411" s="14"/>
      <x:c r="F411" s="14"/>
      <x:c r="G411" s="14" t="n">
        <x:v>0</x:v>
      </x:c>
      <x:c r="H411" s="14"/>
      <x:c r="I411" s="2" t="str">
        <x:v>S021</x:v>
      </x:c>
    </x:row>
    <x:row r="412" ht="27" customHeight="1">
      <x:c r="A412" s="2" t="str">
        <x:v>ae_specialist_seed42_verified</x:v>
      </x:c>
      <x:c r="B412" s="2" t="str">
        <x:v>2004</x:v>
      </x:c>
      <x:c r="C412" s="2" t="n">
        <x:v>11</x:v>
      </x:c>
      <x:c r="D412" s="14" t="n">
        <x:v>6.3599421399638665</x:v>
      </x:c>
      <x:c r="E412" s="14"/>
      <x:c r="F412" s="14"/>
      <x:c r="G412" s="14"/>
      <x:c r="H412" s="14"/>
      <x:c r="I412" s="2" t="str">
        <x:v>S021</x:v>
      </x:c>
    </x:row>
    <x:row r="413" ht="27" customHeight="1">
      <x:c r="A413" s="2" t="str">
        <x:v>ae_specialist_seed42_verified</x:v>
      </x:c>
      <x:c r="B413" s="2" t="str">
        <x:v>2004</x:v>
      </x:c>
      <x:c r="C413" s="2" t="n">
        <x:v>12</x:v>
      </x:c>
      <x:c r="D413" s="14" t="n">
        <x:v>6.115848512439224</x:v>
      </x:c>
      <x:c r="E413" s="14"/>
      <x:c r="F413" s="14"/>
      <x:c r="G413" s="14"/>
      <x:c r="H413" s="14"/>
      <x:c r="I413" s="2" t="str">
        <x:v>S021</x:v>
      </x:c>
    </x:row>
    <x:row r="414" ht="27" customHeight="1">
      <x:c r="A414" s="2" t="str">
        <x:v>ae_specialist_seed42_verified</x:v>
      </x:c>
      <x:c r="B414" s="2" t="str">
        <x:v>2004</x:v>
      </x:c>
      <x:c r="C414" s="2" t="n">
        <x:v>13</x:v>
      </x:c>
      <x:c r="D414" s="14" t="n">
        <x:v>5.962064664953903</x:v>
      </x:c>
      <x:c r="E414" s="14"/>
      <x:c r="F414" s="14"/>
      <x:c r="G414" s="14"/>
      <x:c r="H414" s="14"/>
      <x:c r="I414" s="2" t="str">
        <x:v>S021</x:v>
      </x:c>
    </x:row>
    <x:row r="415" ht="27" customHeight="1">
      <x:c r="A415" s="2" t="str">
        <x:v>ae_specialist_seed42_verified</x:v>
      </x:c>
      <x:c r="B415" s="2" t="str">
        <x:v>2004</x:v>
      </x:c>
      <x:c r="C415" s="2" t="n">
        <x:v>14</x:v>
      </x:c>
      <x:c r="D415" s="14" t="n">
        <x:v>5.864466442842429</x:v>
      </x:c>
      <x:c r="E415" s="14"/>
      <x:c r="F415" s="14"/>
      <x:c r="G415" s="14"/>
      <x:c r="H415" s="14"/>
      <x:c r="I415" s="2" t="str">
        <x:v>S021</x:v>
      </x:c>
    </x:row>
    <x:row r="416" ht="27" customHeight="1">
      <x:c r="A416" s="2" t="str">
        <x:v>ae_specialist_seed42_verified</x:v>
      </x:c>
      <x:c r="B416" s="2" t="str">
        <x:v>2004</x:v>
      </x:c>
      <x:c r="C416" s="2" t="n">
        <x:v>15</x:v>
      </x:c>
      <x:c r="D416" s="14" t="n">
        <x:v>5.764485143102744</x:v>
      </x:c>
      <x:c r="E416" s="14"/>
      <x:c r="F416" s="14"/>
      <x:c r="G416" s="14" t="n">
        <x:v>0</x:v>
      </x:c>
      <x:c r="H416" s="14"/>
      <x:c r="I416" s="2" t="str">
        <x:v>S021</x:v>
      </x:c>
    </x:row>
    <x:row r="417" ht="27" customHeight="1">
      <x:c r="A417" s="2" t="str">
        <x:v>ae_specialist_seed42_verified</x:v>
      </x:c>
      <x:c r="B417" s="2" t="str">
        <x:v>2004</x:v>
      </x:c>
      <x:c r="C417" s="2" t="n">
        <x:v>16</x:v>
      </x:c>
      <x:c r="D417" s="14" t="n">
        <x:v>5.701675736154421</x:v>
      </x:c>
      <x:c r="E417" s="14"/>
      <x:c r="F417" s="14"/>
      <x:c r="G417" s="14"/>
      <x:c r="H417" s="14"/>
      <x:c r="I417" s="2" t="str">
        <x:v>S021</x:v>
      </x:c>
    </x:row>
    <x:row r="418" ht="27" customHeight="1">
      <x:c r="A418" s="2" t="str">
        <x:v>ae_specialist_seed42_verified</x:v>
      </x:c>
      <x:c r="B418" s="2" t="str">
        <x:v>2004</x:v>
      </x:c>
      <x:c r="C418" s="2" t="n">
        <x:v>17</x:v>
      </x:c>
      <x:c r="D418" s="14" t="n">
        <x:v>5.59829734697869</x:v>
      </x:c>
      <x:c r="E418" s="14"/>
      <x:c r="F418" s="14"/>
      <x:c r="G418" s="14"/>
      <x:c r="H418" s="14"/>
      <x:c r="I418" s="2" t="str">
        <x:v>S021</x:v>
      </x:c>
    </x:row>
    <x:row r="419" ht="27" customHeight="1">
      <x:c r="A419" s="2" t="str">
        <x:v>ae_specialist_seed42_verified</x:v>
      </x:c>
      <x:c r="B419" s="2" t="str">
        <x:v>2004</x:v>
      </x:c>
      <x:c r="C419" s="2" t="n">
        <x:v>18</x:v>
      </x:c>
      <x:c r="D419" s="14" t="n">
        <x:v>5.582596471125964</x:v>
      </x:c>
      <x:c r="E419" s="14"/>
      <x:c r="F419" s="14"/>
      <x:c r="G419" s="14"/>
      <x:c r="H419" s="14"/>
      <x:c r="I419" s="2" t="str">
        <x:v>S021</x:v>
      </x:c>
    </x:row>
    <x:row r="420" ht="27" customHeight="1">
      <x:c r="A420" s="2" t="str">
        <x:v>ae_specialist_seed42_verified</x:v>
      </x:c>
      <x:c r="B420" s="2" t="str">
        <x:v>2004</x:v>
      </x:c>
      <x:c r="C420" s="2" t="n">
        <x:v>19</x:v>
      </x:c>
      <x:c r="D420" s="14" t="n">
        <x:v>5.494103407489809</x:v>
      </x:c>
      <x:c r="E420" s="14"/>
      <x:c r="F420" s="14"/>
      <x:c r="G420" s="14"/>
      <x:c r="H420" s="14"/>
      <x:c r="I420" s="2" t="str">
        <x:v>S021</x:v>
      </x:c>
    </x:row>
    <x:row r="421" ht="27" customHeight="1">
      <x:c r="A421" s="2" t="str">
        <x:v>ae_specialist_seed42_verified</x:v>
      </x:c>
      <x:c r="B421" s="2" t="str">
        <x:v>2004</x:v>
      </x:c>
      <x:c r="C421" s="2" t="n">
        <x:v>20</x:v>
      </x:c>
      <x:c r="D421" s="14" t="n">
        <x:v>5.45998944244364</x:v>
      </x:c>
      <x:c r="E421" s="14"/>
      <x:c r="F421" s="14"/>
      <x:c r="G421" s="14" t="n">
        <x:v>0</x:v>
      </x:c>
      <x:c r="H421" s="14"/>
      <x:c r="I421" s="2" t="str">
        <x:v>S021</x:v>
      </x:c>
    </x:row>
    <x:row r="422" ht="27" customHeight="1">
      <x:c r="A422" s="2" t="str">
        <x:v>ae_specialist_seed42_verified</x:v>
      </x:c>
      <x:c r="B422" s="2" t="str">
        <x:v>2004</x:v>
      </x:c>
      <x:c r="C422" s="2" t="n">
        <x:v>21</x:v>
      </x:c>
      <x:c r="D422" s="14" t="n">
        <x:v>5.368840385580335</x:v>
      </x:c>
      <x:c r="E422" s="14"/>
      <x:c r="F422" s="14"/>
      <x:c r="G422" s="14"/>
      <x:c r="H422" s="14"/>
      <x:c r="I422" s="2" t="str">
        <x:v>S021</x:v>
      </x:c>
    </x:row>
    <x:row r="423" ht="27" customHeight="1">
      <x:c r="A423" s="2" t="str">
        <x:v>ae_specialist_seed42_verified</x:v>
      </x:c>
      <x:c r="B423" s="2" t="str">
        <x:v>2004</x:v>
      </x:c>
      <x:c r="C423" s="2" t="n">
        <x:v>22</x:v>
      </x:c>
      <x:c r="D423" s="14" t="n">
        <x:v>5.326420072960068</x:v>
      </x:c>
      <x:c r="E423" s="14"/>
      <x:c r="F423" s="14"/>
      <x:c r="G423" s="14"/>
      <x:c r="H423" s="14"/>
      <x:c r="I423" s="2" t="str">
        <x:v>S021</x:v>
      </x:c>
    </x:row>
    <x:row r="424" ht="27" customHeight="1">
      <x:c r="A424" s="2" t="str">
        <x:v>ae_specialist_seed42_verified</x:v>
      </x:c>
      <x:c r="B424" s="2" t="str">
        <x:v>2004</x:v>
      </x:c>
      <x:c r="C424" s="2" t="n">
        <x:v>23</x:v>
      </x:c>
      <x:c r="D424" s="14" t="n">
        <x:v>5.275322964819128</x:v>
      </x:c>
      <x:c r="E424" s="14"/>
      <x:c r="F424" s="14"/>
      <x:c r="G424" s="14"/>
      <x:c r="H424" s="14"/>
      <x:c r="I424" s="2" t="str">
        <x:v>S021</x:v>
      </x:c>
    </x:row>
    <x:row r="425" ht="27" customHeight="1">
      <x:c r="A425" s="2" t="str">
        <x:v>ae_specialist_seed42_verified</x:v>
      </x:c>
      <x:c r="B425" s="2" t="str">
        <x:v>2004</x:v>
      </x:c>
      <x:c r="C425" s="2" t="n">
        <x:v>24</x:v>
      </x:c>
      <x:c r="D425" s="14" t="n">
        <x:v>5.270755532194865</x:v>
      </x:c>
      <x:c r="E425" s="14"/>
      <x:c r="F425" s="14"/>
      <x:c r="G425" s="14"/>
      <x:c r="H425" s="14"/>
      <x:c r="I425" s="2" t="str">
        <x:v>S021</x:v>
      </x:c>
    </x:row>
    <x:row r="426" ht="27" customHeight="1">
      <x:c r="A426" s="2" t="str">
        <x:v>ae_specialist_seed42_verified</x:v>
      </x:c>
      <x:c r="B426" s="2" t="str">
        <x:v>2004</x:v>
      </x:c>
      <x:c r="C426" s="2" t="n">
        <x:v>25</x:v>
      </x:c>
      <x:c r="D426" s="14" t="n">
        <x:v>5.179981149576874</x:v>
      </x:c>
      <x:c r="E426" s="14"/>
      <x:c r="F426" s="14"/>
      <x:c r="G426" s="14" t="n">
        <x:v>0</x:v>
      </x:c>
      <x:c r="H426" s="14"/>
      <x:c r="I426" s="2" t="str">
        <x:v>S021</x:v>
      </x:c>
    </x:row>
    <x:row r="427" ht="27" customHeight="1">
      <x:c r="A427" s="2" t="str">
        <x:v>ae_specialist_seed42_verified</x:v>
      </x:c>
      <x:c r="B427" s="2" t="str">
        <x:v>2004</x:v>
      </x:c>
      <x:c r="C427" s="2" t="n">
        <x:v>26</x:v>
      </x:c>
      <x:c r="D427" s="14" t="n">
        <x:v>5.184325565605049</x:v>
      </x:c>
      <x:c r="E427" s="14"/>
      <x:c r="F427" s="14"/>
      <x:c r="G427" s="14"/>
      <x:c r="H427" s="14"/>
      <x:c r="I427" s="2" t="str">
        <x:v>S021</x:v>
      </x:c>
    </x:row>
    <x:row r="428" ht="27" customHeight="1">
      <x:c r="A428" s="2" t="str">
        <x:v>ae_specialist_seed42_verified</x:v>
      </x:c>
      <x:c r="B428" s="2" t="str">
        <x:v>2004</x:v>
      </x:c>
      <x:c r="C428" s="2" t="n">
        <x:v>27</x:v>
      </x:c>
      <x:c r="D428" s="14" t="n">
        <x:v>5.165498565790148</x:v>
      </x:c>
      <x:c r="E428" s="14"/>
      <x:c r="F428" s="14"/>
      <x:c r="G428" s="14"/>
      <x:c r="H428" s="14"/>
      <x:c r="I428" s="2" t="str">
        <x:v>S021</x:v>
      </x:c>
    </x:row>
    <x:row r="429" ht="27" customHeight="1">
      <x:c r="A429" s="2" t="str">
        <x:v>ae_specialist_seed42_verified</x:v>
      </x:c>
      <x:c r="B429" s="2" t="str">
        <x:v>2004</x:v>
      </x:c>
      <x:c r="C429" s="2" t="n">
        <x:v>28</x:v>
      </x:c>
      <x:c r="D429" s="14" t="n">
        <x:v>5.116952032410674</x:v>
      </x:c>
      <x:c r="E429" s="14"/>
      <x:c r="F429" s="14"/>
      <x:c r="G429" s="14"/>
      <x:c r="H429" s="14"/>
      <x:c r="I429" s="2" t="str">
        <x:v>S021</x:v>
      </x:c>
    </x:row>
    <x:row r="430" ht="27" customHeight="1">
      <x:c r="A430" s="2" t="str">
        <x:v>ae_specialist_seed42_verified</x:v>
      </x:c>
      <x:c r="B430" s="2" t="str">
        <x:v>2004</x:v>
      </x:c>
      <x:c r="C430" s="2" t="n">
        <x:v>29</x:v>
      </x:c>
      <x:c r="D430" s="14" t="n">
        <x:v>5.112357417861415</x:v>
      </x:c>
      <x:c r="E430" s="14"/>
      <x:c r="F430" s="14"/>
      <x:c r="G430" s="14"/>
      <x:c r="H430" s="14"/>
      <x:c r="I430" s="2" t="str">
        <x:v>S021</x:v>
      </x:c>
    </x:row>
    <x:row r="431" ht="27" customHeight="1">
      <x:c r="A431" s="2" t="str">
        <x:v>ae_specialist_seed42_verified</x:v>
      </x:c>
      <x:c r="B431" s="2" t="str">
        <x:v>2004</x:v>
      </x:c>
      <x:c r="C431" s="2" t="n">
        <x:v>30</x:v>
      </x:c>
      <x:c r="D431" s="14" t="n">
        <x:v>5.0896329992056994</x:v>
      </x:c>
      <x:c r="E431" s="14"/>
      <x:c r="F431" s="14"/>
      <x:c r="G431" s="14" t="n">
        <x:v>0</x:v>
      </x:c>
      <x:c r="H431" s="14"/>
      <x:c r="I431" s="2" t="str">
        <x:v>S021</x:v>
      </x:c>
    </x:row>
    <x:row r="432" ht="27" customHeight="1">
      <x:c r="A432" s="2" t="str">
        <x:v>ae_specialist_seed42_verified</x:v>
      </x:c>
      <x:c r="B432" s="2" t="str">
        <x:v>2004</x:v>
      </x:c>
      <x:c r="C432" s="2" t="n">
        <x:v>31</x:v>
      </x:c>
      <x:c r="D432" s="14" t="n">
        <x:v>5.052989784391836</x:v>
      </x:c>
      <x:c r="E432" s="14"/>
      <x:c r="F432" s="14"/>
      <x:c r="G432" s="14"/>
      <x:c r="H432" s="14"/>
      <x:c r="I432" s="2" t="str">
        <x:v>S021</x:v>
      </x:c>
    </x:row>
    <x:row r="433" ht="27" customHeight="1">
      <x:c r="A433" s="2" t="str">
        <x:v>ae_specialist_seed42_verified</x:v>
      </x:c>
      <x:c r="B433" s="2" t="str">
        <x:v>2004</x:v>
      </x:c>
      <x:c r="C433" s="2" t="n">
        <x:v>32</x:v>
      </x:c>
      <x:c r="D433" s="14" t="n">
        <x:v>5.021497334377207</x:v>
      </x:c>
      <x:c r="E433" s="14"/>
      <x:c r="F433" s="14"/>
      <x:c r="G433" s="14"/>
      <x:c r="H433" s="14"/>
      <x:c r="I433" s="2" t="str">
        <x:v>S021</x:v>
      </x:c>
    </x:row>
    <x:row r="434" ht="27" customHeight="1">
      <x:c r="A434" s="2" t="str">
        <x:v>ae_specialist_seed42_verified</x:v>
      </x:c>
      <x:c r="B434" s="2" t="str">
        <x:v>2004</x:v>
      </x:c>
      <x:c r="C434" s="2" t="n">
        <x:v>33</x:v>
      </x:c>
      <x:c r="D434" s="14" t="n">
        <x:v>5.007129191573362</x:v>
      </x:c>
      <x:c r="E434" s="14"/>
      <x:c r="F434" s="14"/>
      <x:c r="G434" s="14"/>
      <x:c r="H434" s="14"/>
      <x:c r="I434" s="2" t="str">
        <x:v>S021</x:v>
      </x:c>
    </x:row>
    <x:row r="435" ht="27" customHeight="1">
      <x:c r="A435" s="2" t="str">
        <x:v>ae_specialist_seed42_verified</x:v>
      </x:c>
      <x:c r="B435" s="2" t="str">
        <x:v>2004</x:v>
      </x:c>
      <x:c r="C435" s="2" t="n">
        <x:v>34</x:v>
      </x:c>
      <x:c r="D435" s="14" t="n">
        <x:v>4.995932612924137</x:v>
      </x:c>
      <x:c r="E435" s="14"/>
      <x:c r="F435" s="14"/>
      <x:c r="G435" s="14"/>
      <x:c r="H435" s="14"/>
      <x:c r="I435" s="2" t="str">
        <x:v>S021</x:v>
      </x:c>
    </x:row>
    <x:row r="436" ht="27" customHeight="1">
      <x:c r="A436" s="2" t="str">
        <x:v>ae_specialist_seed42_verified</x:v>
      </x:c>
      <x:c r="B436" s="2" t="str">
        <x:v>2004</x:v>
      </x:c>
      <x:c r="C436" s="2" t="n">
        <x:v>35</x:v>
      </x:c>
      <x:c r="D436" s="14" t="n">
        <x:v>4.985125569858442</x:v>
      </x:c>
      <x:c r="E436" s="14"/>
      <x:c r="F436" s="14"/>
      <x:c r="G436" s="14" t="n">
        <x:v>0</x:v>
      </x:c>
      <x:c r="H436" s="14"/>
      <x:c r="I436" s="2" t="str">
        <x:v>S021</x:v>
      </x:c>
    </x:row>
    <x:row r="437" ht="27" customHeight="1">
      <x:c r="A437" s="2" t="str">
        <x:v>ae_specialist_seed42_verified</x:v>
      </x:c>
      <x:c r="B437" s="2" t="str">
        <x:v>2004</x:v>
      </x:c>
      <x:c r="C437" s="2" t="n">
        <x:v>36</x:v>
      </x:c>
      <x:c r="D437" s="14" t="n">
        <x:v>4.980497426503756</x:v>
      </x:c>
      <x:c r="E437" s="14"/>
      <x:c r="F437" s="14"/>
      <x:c r="G437" s="14"/>
      <x:c r="H437" s="14"/>
      <x:c r="I437" s="2" t="str">
        <x:v>S021</x:v>
      </x:c>
    </x:row>
    <x:row r="438" ht="27" customHeight="1">
      <x:c r="A438" s="2" t="str">
        <x:v>ae_specialist_seed42_verified</x:v>
      </x:c>
      <x:c r="B438" s="2" t="str">
        <x:v>2004</x:v>
      </x:c>
      <x:c r="C438" s="2" t="n">
        <x:v>37</x:v>
      </x:c>
      <x:c r="D438" s="14" t="n">
        <x:v>4.977305322974766</x:v>
      </x:c>
      <x:c r="E438" s="14"/>
      <x:c r="F438" s="14"/>
      <x:c r="G438" s="14"/>
      <x:c r="H438" s="14"/>
      <x:c r="I438" s="2" t="str">
        <x:v>S021</x:v>
      </x:c>
    </x:row>
    <x:row r="439" ht="27" customHeight="1">
      <x:c r="A439" s="2" t="str">
        <x:v>ae_specialist_seed42_verified</x:v>
      </x:c>
      <x:c r="B439" s="2" t="str">
        <x:v>2004</x:v>
      </x:c>
      <x:c r="C439" s="2" t="n">
        <x:v>38</x:v>
      </x:c>
      <x:c r="D439" s="14" t="n">
        <x:v>4.958268469761932</x:v>
      </x:c>
      <x:c r="E439" s="14"/>
      <x:c r="F439" s="14"/>
      <x:c r="G439" s="14"/>
      <x:c r="H439" s="14"/>
      <x:c r="I439" s="2" t="str">
        <x:v>S021</x:v>
      </x:c>
    </x:row>
    <x:row r="440" ht="27" customHeight="1">
      <x:c r="A440" s="2" t="str">
        <x:v>ae_specialist_seed42_verified</x:v>
      </x:c>
      <x:c r="B440" s="2" t="str">
        <x:v>2004</x:v>
      </x:c>
      <x:c r="C440" s="2" t="n">
        <x:v>39</x:v>
      </x:c>
      <x:c r="D440" s="14" t="n">
        <x:v>4.952649671701005</x:v>
      </x:c>
      <x:c r="E440" s="14"/>
      <x:c r="F440" s="14"/>
      <x:c r="G440" s="14"/>
      <x:c r="H440" s="14"/>
      <x:c r="I440" s="2" t="str">
        <x:v>S021</x:v>
      </x:c>
    </x:row>
    <x:row r="441" ht="27" customHeight="1">
      <x:c r="A441" s="2" t="str">
        <x:v>ae_specialist_seed42_verified</x:v>
      </x:c>
      <x:c r="B441" s="2" t="str">
        <x:v>2004</x:v>
      </x:c>
      <x:c r="C441" s="2" t="n">
        <x:v>40</x:v>
      </x:c>
      <x:c r="D441" s="14" t="n">
        <x:v>4.9627942698157</x:v>
      </x:c>
      <x:c r="E441" s="14"/>
      <x:c r="F441" s="14"/>
      <x:c r="G441" s="14" t="n">
        <x:v>0</x:v>
      </x:c>
      <x:c r="H441" s="14"/>
      <x:c r="I441" s="2" t="str">
        <x:v>S021</x:v>
      </x:c>
    </x:row>
    <x:row r="442" ht="27" customHeight="1">
      <x:c r="A442" s="2" t="str">
        <x:v>ae_specialist_seed42_verified</x:v>
      </x:c>
      <x:c r="B442" s="2" t="str">
        <x:v>2005</x:v>
      </x:c>
      <x:c r="C442" s="2" t="n">
        <x:v>1</x:v>
      </x:c>
      <x:c r="D442" s="14" t="n">
        <x:v>9.999570989840654</x:v>
      </x:c>
      <x:c r="E442" s="14"/>
      <x:c r="F442" s="14"/>
      <x:c r="G442" s="14"/>
      <x:c r="H442" s="14"/>
      <x:c r="I442" s="2" t="str">
        <x:v>S022</x:v>
      </x:c>
    </x:row>
    <x:row r="443" ht="27" customHeight="1">
      <x:c r="A443" s="2" t="str">
        <x:v>ae_specialist_seed42_verified</x:v>
      </x:c>
      <x:c r="B443" s="2" t="str">
        <x:v>2005</x:v>
      </x:c>
      <x:c r="C443" s="2" t="n">
        <x:v>2</x:v>
      </x:c>
      <x:c r="D443" s="14" t="n">
        <x:v>9.45357232744321</x:v>
      </x:c>
      <x:c r="E443" s="14"/>
      <x:c r="F443" s="14"/>
      <x:c r="G443" s="14"/>
      <x:c r="H443" s="14"/>
      <x:c r="I443" s="2" t="str">
        <x:v>S022</x:v>
      </x:c>
    </x:row>
    <x:row r="444" ht="27" customHeight="1">
      <x:c r="A444" s="2" t="str">
        <x:v>ae_specialist_seed42_verified</x:v>
      </x:c>
      <x:c r="B444" s="2" t="str">
        <x:v>2005</x:v>
      </x:c>
      <x:c r="C444" s="2" t="n">
        <x:v>3</x:v>
      </x:c>
      <x:c r="D444" s="14" t="n">
        <x:v>9.100280511278553</x:v>
      </x:c>
      <x:c r="E444" s="14"/>
      <x:c r="F444" s="14"/>
      <x:c r="G444" s="14"/>
      <x:c r="H444" s="14"/>
      <x:c r="I444" s="2" t="str">
        <x:v>S022</x:v>
      </x:c>
    </x:row>
    <x:row r="445" ht="27" customHeight="1">
      <x:c r="A445" s="2" t="str">
        <x:v>ae_specialist_seed42_verified</x:v>
      </x:c>
      <x:c r="B445" s="2" t="str">
        <x:v>2005</x:v>
      </x:c>
      <x:c r="C445" s="2" t="n">
        <x:v>4</x:v>
      </x:c>
      <x:c r="D445" s="14" t="n">
        <x:v>8.872302032414073</x:v>
      </x:c>
      <x:c r="E445" s="14"/>
      <x:c r="F445" s="14"/>
      <x:c r="G445" s="14"/>
      <x:c r="H445" s="14"/>
      <x:c r="I445" s="2" t="str">
        <x:v>S022</x:v>
      </x:c>
    </x:row>
    <x:row r="446" ht="27" customHeight="1">
      <x:c r="A446" s="2" t="str">
        <x:v>ae_specialist_seed42_verified</x:v>
      </x:c>
      <x:c r="B446" s="2" t="str">
        <x:v>2005</x:v>
      </x:c>
      <x:c r="C446" s="2" t="n">
        <x:v>5</x:v>
      </x:c>
      <x:c r="D446" s="14" t="n">
        <x:v>8.282852900006871</x:v>
      </x:c>
      <x:c r="E446" s="14"/>
      <x:c r="F446" s="14"/>
      <x:c r="G446" s="14" t="n">
        <x:v>0.8333333333333334</x:v>
      </x:c>
      <x:c r="H446" s="14"/>
      <x:c r="I446" s="2" t="str">
        <x:v>S022</x:v>
      </x:c>
    </x:row>
    <x:row r="447" ht="27" customHeight="1">
      <x:c r="A447" s="2" t="str">
        <x:v>ae_specialist_seed42_verified</x:v>
      </x:c>
      <x:c r="B447" s="2" t="str">
        <x:v>2005</x:v>
      </x:c>
      <x:c r="C447" s="2" t="n">
        <x:v>6</x:v>
      </x:c>
      <x:c r="D447" s="14" t="n">
        <x:v>7.924491277703978</x:v>
      </x:c>
      <x:c r="E447" s="14"/>
      <x:c r="F447" s="14"/>
      <x:c r="G447" s="14"/>
      <x:c r="H447" s="14"/>
      <x:c r="I447" s="2" t="str">
        <x:v>S022</x:v>
      </x:c>
    </x:row>
    <x:row r="448" ht="27" customHeight="1">
      <x:c r="A448" s="2" t="str">
        <x:v>ae_specialist_seed42_verified</x:v>
      </x:c>
      <x:c r="B448" s="2" t="str">
        <x:v>2005</x:v>
      </x:c>
      <x:c r="C448" s="2" t="n">
        <x:v>7</x:v>
      </x:c>
      <x:c r="D448" s="14" t="n">
        <x:v>7.724836466896403</x:v>
      </x:c>
      <x:c r="E448" s="14"/>
      <x:c r="F448" s="14"/>
      <x:c r="G448" s="14"/>
      <x:c r="H448" s="14"/>
      <x:c r="I448" s="2" t="str">
        <x:v>S022</x:v>
      </x:c>
    </x:row>
    <x:row r="449" ht="27" customHeight="1">
      <x:c r="A449" s="2" t="str">
        <x:v>ae_specialist_seed42_verified</x:v>
      </x:c>
      <x:c r="B449" s="2" t="str">
        <x:v>2005</x:v>
      </x:c>
      <x:c r="C449" s="2" t="n">
        <x:v>8</x:v>
      </x:c>
      <x:c r="D449" s="14" t="n">
        <x:v>7.582421374803069</x:v>
      </x:c>
      <x:c r="E449" s="14"/>
      <x:c r="F449" s="14"/>
      <x:c r="G449" s="14"/>
      <x:c r="H449" s="14"/>
      <x:c r="I449" s="2" t="str">
        <x:v>S022</x:v>
      </x:c>
    </x:row>
    <x:row r="450" ht="27" customHeight="1">
      <x:c r="A450" s="2" t="str">
        <x:v>ae_specialist_seed42_verified</x:v>
      </x:c>
      <x:c r="B450" s="2" t="str">
        <x:v>2005</x:v>
      </x:c>
      <x:c r="C450" s="2" t="n">
        <x:v>9</x:v>
      </x:c>
      <x:c r="D450" s="14" t="n">
        <x:v>7.4444206812389675</x:v>
      </x:c>
      <x:c r="E450" s="14"/>
      <x:c r="F450" s="14"/>
      <x:c r="G450" s="14"/>
      <x:c r="H450" s="14"/>
      <x:c r="I450" s="2" t="str">
        <x:v>S022</x:v>
      </x:c>
    </x:row>
    <x:row r="451" ht="27" customHeight="1">
      <x:c r="A451" s="2" t="str">
        <x:v>ae_specialist_seed42_verified</x:v>
      </x:c>
      <x:c r="B451" s="2" t="str">
        <x:v>2005</x:v>
      </x:c>
      <x:c r="C451" s="2" t="n">
        <x:v>10</x:v>
      </x:c>
      <x:c r="D451" s="14" t="n">
        <x:v>7.247427104835715</x:v>
      </x:c>
      <x:c r="E451" s="14"/>
      <x:c r="F451" s="14"/>
      <x:c r="G451" s="14" t="n">
        <x:v>0.8333089792125593</x:v>
      </x:c>
      <x:c r="H451" s="14"/>
      <x:c r="I451" s="2" t="str">
        <x:v>S022</x:v>
      </x:c>
    </x:row>
    <x:row r="452" ht="27" customHeight="1">
      <x:c r="A452" s="2" t="str">
        <x:v>ae_specialist_seed42_verified</x:v>
      </x:c>
      <x:c r="B452" s="2" t="str">
        <x:v>2005</x:v>
      </x:c>
      <x:c r="C452" s="2" t="n">
        <x:v>11</x:v>
      </x:c>
      <x:c r="D452" s="14" t="n">
        <x:v>6.976074817023803</x:v>
      </x:c>
      <x:c r="E452" s="14"/>
      <x:c r="F452" s="14"/>
      <x:c r="G452" s="14"/>
      <x:c r="H452" s="14"/>
      <x:c r="I452" s="2" t="str">
        <x:v>S022</x:v>
      </x:c>
    </x:row>
    <x:row r="453" ht="27" customHeight="1">
      <x:c r="A453" s="2" t="str">
        <x:v>ae_specialist_seed42_verified</x:v>
      </x:c>
      <x:c r="B453" s="2" t="str">
        <x:v>2005</x:v>
      </x:c>
      <x:c r="C453" s="2" t="n">
        <x:v>12</x:v>
      </x:c>
      <x:c r="D453" s="14" t="n">
        <x:v>6.7372227000677585</x:v>
      </x:c>
      <x:c r="E453" s="14"/>
      <x:c r="F453" s="14"/>
      <x:c r="G453" s="14"/>
      <x:c r="H453" s="14"/>
      <x:c r="I453" s="2" t="str">
        <x:v>S022</x:v>
      </x:c>
    </x:row>
    <x:row r="454" ht="27" customHeight="1">
      <x:c r="A454" s="2" t="str">
        <x:v>ae_specialist_seed42_verified</x:v>
      </x:c>
      <x:c r="B454" s="2" t="str">
        <x:v>2005</x:v>
      </x:c>
      <x:c r="C454" s="2" t="n">
        <x:v>13</x:v>
      </x:c>
      <x:c r="D454" s="14" t="n">
        <x:v>6.536076380585904</x:v>
      </x:c>
      <x:c r="E454" s="14"/>
      <x:c r="F454" s="14"/>
      <x:c r="G454" s="14"/>
      <x:c r="H454" s="14"/>
      <x:c r="I454" s="2" t="str">
        <x:v>S022</x:v>
      </x:c>
    </x:row>
    <x:row r="455" ht="27" customHeight="1">
      <x:c r="A455" s="2" t="str">
        <x:v>ae_specialist_seed42_verified</x:v>
      </x:c>
      <x:c r="B455" s="2" t="str">
        <x:v>2005</x:v>
      </x:c>
      <x:c r="C455" s="2" t="n">
        <x:v>14</x:v>
      </x:c>
      <x:c r="D455" s="14" t="n">
        <x:v>6.348775233275329</x:v>
      </x:c>
      <x:c r="E455" s="14"/>
      <x:c r="F455" s="14"/>
      <x:c r="G455" s="14"/>
      <x:c r="H455" s="14"/>
      <x:c r="I455" s="2" t="str">
        <x:v>S022</x:v>
      </x:c>
    </x:row>
    <x:row r="456" ht="27" customHeight="1">
      <x:c r="A456" s="2" t="str">
        <x:v>ae_specialist_seed42_verified</x:v>
      </x:c>
      <x:c r="B456" s="2" t="str">
        <x:v>2005</x:v>
      </x:c>
      <x:c r="C456" s="2" t="n">
        <x:v>15</x:v>
      </x:c>
      <x:c r="D456" s="14" t="n">
        <x:v>6.209246811855776</x:v>
      </x:c>
      <x:c r="E456" s="14"/>
      <x:c r="F456" s="14"/>
      <x:c r="G456" s="14" t="n">
        <x:v>0.9373225424624985</x:v>
      </x:c>
      <x:c r="H456" s="14"/>
      <x:c r="I456" s="2" t="str">
        <x:v>S022</x:v>
      </x:c>
    </x:row>
    <x:row r="457" ht="27" customHeight="1">
      <x:c r="A457" s="2" t="str">
        <x:v>ae_specialist_seed42_verified</x:v>
      </x:c>
      <x:c r="B457" s="2" t="str">
        <x:v>2005</x:v>
      </x:c>
      <x:c r="C457" s="2" t="n">
        <x:v>16</x:v>
      </x:c>
      <x:c r="D457" s="14" t="n">
        <x:v>6.103638366631361</x:v>
      </x:c>
      <x:c r="E457" s="14"/>
      <x:c r="F457" s="14"/>
      <x:c r="G457" s="14"/>
      <x:c r="H457" s="14"/>
      <x:c r="I457" s="2" t="str">
        <x:v>S022</x:v>
      </x:c>
    </x:row>
    <x:row r="458" ht="27" customHeight="1">
      <x:c r="A458" s="2" t="str">
        <x:v>ae_specialist_seed42_verified</x:v>
      </x:c>
      <x:c r="B458" s="2" t="str">
        <x:v>2005</x:v>
      </x:c>
      <x:c r="C458" s="2" t="n">
        <x:v>17</x:v>
      </x:c>
      <x:c r="D458" s="14" t="n">
        <x:v>6.003599697957113</x:v>
      </x:c>
      <x:c r="E458" s="14"/>
      <x:c r="F458" s="14"/>
      <x:c r="G458" s="14"/>
      <x:c r="H458" s="14"/>
      <x:c r="I458" s="2" t="str">
        <x:v>S022</x:v>
      </x:c>
    </x:row>
    <x:row r="459" ht="27" customHeight="1">
      <x:c r="A459" s="2" t="str">
        <x:v>ae_specialist_seed42_verified</x:v>
      </x:c>
      <x:c r="B459" s="2" t="str">
        <x:v>2005</x:v>
      </x:c>
      <x:c r="C459" s="2" t="n">
        <x:v>18</x:v>
      </x:c>
      <x:c r="D459" s="14" t="n">
        <x:v>5.886129885522917</x:v>
      </x:c>
      <x:c r="E459" s="14"/>
      <x:c r="F459" s="14"/>
      <x:c r="G459" s="14"/>
      <x:c r="H459" s="14"/>
      <x:c r="I459" s="2" t="str">
        <x:v>S022</x:v>
      </x:c>
    </x:row>
    <x:row r="460" ht="27" customHeight="1">
      <x:c r="A460" s="2" t="str">
        <x:v>ae_specialist_seed42_verified</x:v>
      </x:c>
      <x:c r="B460" s="2" t="str">
        <x:v>2005</x:v>
      </x:c>
      <x:c r="C460" s="2" t="n">
        <x:v>19</x:v>
      </x:c>
      <x:c r="D460" s="14" t="n">
        <x:v>5.786261617115217</x:v>
      </x:c>
      <x:c r="E460" s="14"/>
      <x:c r="F460" s="14"/>
      <x:c r="G460" s="14"/>
      <x:c r="H460" s="14"/>
      <x:c r="I460" s="2" t="str">
        <x:v>S022</x:v>
      </x:c>
    </x:row>
    <x:row r="461" ht="27" customHeight="1">
      <x:c r="A461" s="2" t="str">
        <x:v>ae_specialist_seed42_verified</x:v>
      </x:c>
      <x:c r="B461" s="2" t="str">
        <x:v>2005</x:v>
      </x:c>
      <x:c r="C461" s="2" t="n">
        <x:v>20</x:v>
      </x:c>
      <x:c r="D461" s="14" t="n">
        <x:v>5.71935462683157</x:v>
      </x:c>
      <x:c r="E461" s="14"/>
      <x:c r="F461" s="14"/>
      <x:c r="G461" s="14" t="n">
        <x:v>0.8332172755250541</x:v>
      </x:c>
      <x:c r="H461" s="14"/>
      <x:c r="I461" s="2" t="str">
        <x:v>S022</x:v>
      </x:c>
    </x:row>
    <x:row r="462" ht="27" customHeight="1">
      <x:c r="A462" s="2" t="str">
        <x:v>ae_specialist_seed42_verified</x:v>
      </x:c>
      <x:c r="B462" s="2" t="str">
        <x:v>2005</x:v>
      </x:c>
      <x:c r="C462" s="2" t="n">
        <x:v>21</x:v>
      </x:c>
      <x:c r="D462" s="14" t="n">
        <x:v>5.676278466546142</x:v>
      </x:c>
      <x:c r="E462" s="14"/>
      <x:c r="F462" s="14"/>
      <x:c r="G462" s="14"/>
      <x:c r="H462" s="14"/>
      <x:c r="I462" s="2" t="str">
        <x:v>S022</x:v>
      </x:c>
    </x:row>
    <x:row r="463" ht="27" customHeight="1">
      <x:c r="A463" s="2" t="str">
        <x:v>ae_specialist_seed42_verified</x:v>
      </x:c>
      <x:c r="B463" s="2" t="str">
        <x:v>2005</x:v>
      </x:c>
      <x:c r="C463" s="2" t="n">
        <x:v>22</x:v>
      </x:c>
      <x:c r="D463" s="14" t="n">
        <x:v>5.611634839975471</x:v>
      </x:c>
      <x:c r="E463" s="14"/>
      <x:c r="F463" s="14"/>
      <x:c r="G463" s="14"/>
      <x:c r="H463" s="14"/>
      <x:c r="I463" s="2" t="str">
        <x:v>S022</x:v>
      </x:c>
    </x:row>
    <x:row r="464" ht="27" customHeight="1">
      <x:c r="A464" s="2" t="str">
        <x:v>ae_specialist_seed42_verified</x:v>
      </x:c>
      <x:c r="B464" s="2" t="str">
        <x:v>2005</x:v>
      </x:c>
      <x:c r="C464" s="2" t="n">
        <x:v>23</x:v>
      </x:c>
      <x:c r="D464" s="14" t="n">
        <x:v>5.559443602148212</x:v>
      </x:c>
      <x:c r="E464" s="14"/>
      <x:c r="F464" s="14"/>
      <x:c r="G464" s="14"/>
      <x:c r="H464" s="14"/>
      <x:c r="I464" s="2" t="str">
        <x:v>S022</x:v>
      </x:c>
    </x:row>
    <x:row r="465" ht="27" customHeight="1">
      <x:c r="A465" s="2" t="str">
        <x:v>ae_specialist_seed42_verified</x:v>
      </x:c>
      <x:c r="B465" s="2" t="str">
        <x:v>2005</x:v>
      </x:c>
      <x:c r="C465" s="2" t="n">
        <x:v>24</x:v>
      </x:c>
      <x:c r="D465" s="14" t="n">
        <x:v>5.499579610438917</x:v>
      </x:c>
      <x:c r="E465" s="14"/>
      <x:c r="F465" s="14"/>
      <x:c r="G465" s="14"/>
      <x:c r="H465" s="14"/>
      <x:c r="I465" s="2" t="str">
        <x:v>S022</x:v>
      </x:c>
    </x:row>
    <x:row r="466" ht="27" customHeight="1">
      <x:c r="A466" s="2" t="str">
        <x:v>ae_specialist_seed42_verified</x:v>
      </x:c>
      <x:c r="B466" s="2" t="str">
        <x:v>2005</x:v>
      </x:c>
      <x:c r="C466" s="2" t="n">
        <x:v>25</x:v>
      </x:c>
      <x:c r="D466" s="14" t="n">
        <x:v>5.481823489035613</x:v>
      </x:c>
      <x:c r="E466" s="14"/>
      <x:c r="F466" s="14"/>
      <x:c r="G466" s="14" t="n">
        <x:v>0.998858486175566</x:v>
      </x:c>
      <x:c r="H466" s="14"/>
      <x:c r="I466" s="2" t="str">
        <x:v>S022</x:v>
      </x:c>
    </x:row>
    <x:row r="467" ht="27" customHeight="1">
      <x:c r="A467" s="2" t="str">
        <x:v>ae_specialist_seed42_verified</x:v>
      </x:c>
      <x:c r="B467" s="2" t="str">
        <x:v>2005</x:v>
      </x:c>
      <x:c r="C467" s="2" t="n">
        <x:v>26</x:v>
      </x:c>
      <x:c r="D467" s="14" t="n">
        <x:v>5.431497660749917</x:v>
      </x:c>
      <x:c r="E467" s="14"/>
      <x:c r="F467" s="14"/>
      <x:c r="G467" s="14"/>
      <x:c r="H467" s="14"/>
      <x:c r="I467" s="2" t="str">
        <x:v>S022</x:v>
      </x:c>
    </x:row>
    <x:row r="468" ht="27" customHeight="1">
      <x:c r="A468" s="2" t="str">
        <x:v>ae_specialist_seed42_verified</x:v>
      </x:c>
      <x:c r="B468" s="2" t="str">
        <x:v>2005</x:v>
      </x:c>
      <x:c r="C468" s="2" t="n">
        <x:v>27</x:v>
      </x:c>
      <x:c r="D468" s="14" t="n">
        <x:v>5.4012921375785306</x:v>
      </x:c>
      <x:c r="E468" s="14"/>
      <x:c r="F468" s="14"/>
      <x:c r="G468" s="14"/>
      <x:c r="H468" s="14"/>
      <x:c r="I468" s="2" t="str">
        <x:v>S022</x:v>
      </x:c>
    </x:row>
    <x:row r="469" ht="27" customHeight="1">
      <x:c r="A469" s="2" t="str">
        <x:v>ae_specialist_seed42_verified</x:v>
      </x:c>
      <x:c r="B469" s="2" t="str">
        <x:v>2005</x:v>
      </x:c>
      <x:c r="C469" s="2" t="n">
        <x:v>28</x:v>
      </x:c>
      <x:c r="D469" s="14" t="n">
        <x:v>5.363682638997766</x:v>
      </x:c>
      <x:c r="E469" s="14"/>
      <x:c r="F469" s="14"/>
      <x:c r="G469" s="14"/>
      <x:c r="H469" s="14"/>
      <x:c r="I469" s="2" t="str">
        <x:v>S022</x:v>
      </x:c>
    </x:row>
    <x:row r="470" ht="27" customHeight="1">
      <x:c r="A470" s="2" t="str">
        <x:v>ae_specialist_seed42_verified</x:v>
      </x:c>
      <x:c r="B470" s="2" t="str">
        <x:v>2005</x:v>
      </x:c>
      <x:c r="C470" s="2" t="n">
        <x:v>29</x:v>
      </x:c>
      <x:c r="D470" s="14" t="n">
        <x:v>5.318139414485836</x:v>
      </x:c>
      <x:c r="E470" s="14"/>
      <x:c r="F470" s="14"/>
      <x:c r="G470" s="14"/>
      <x:c r="H470" s="14"/>
      <x:c r="I470" s="2" t="str">
        <x:v>S022</x:v>
      </x:c>
    </x:row>
    <x:row r="471" ht="27" customHeight="1">
      <x:c r="A471" s="2" t="str">
        <x:v>ae_specialist_seed42_verified</x:v>
      </x:c>
      <x:c r="B471" s="2" t="str">
        <x:v>2005</x:v>
      </x:c>
      <x:c r="C471" s="2" t="n">
        <x:v>30</x:v>
      </x:c>
      <x:c r="D471" s="14" t="n">
        <x:v>5.296621615056159</x:v>
      </x:c>
      <x:c r="E471" s="14"/>
      <x:c r="F471" s="14"/>
      <x:c r="G471" s="14" t="n">
        <x:v>0.8332914061296796</x:v>
      </x:c>
      <x:c r="H471" s="14"/>
      <x:c r="I471" s="2" t="str">
        <x:v>S022</x:v>
      </x:c>
    </x:row>
    <x:row r="472" ht="27" customHeight="1">
      <x:c r="A472" s="2" t="str">
        <x:v>ae_specialist_seed42_verified</x:v>
      </x:c>
      <x:c r="B472" s="2" t="str">
        <x:v>2005</x:v>
      </x:c>
      <x:c r="C472" s="2" t="n">
        <x:v>31</x:v>
      </x:c>
      <x:c r="D472" s="14" t="n">
        <x:v>5.281897589285904</x:v>
      </x:c>
      <x:c r="E472" s="14"/>
      <x:c r="F472" s="14"/>
      <x:c r="G472" s="14"/>
      <x:c r="H472" s="14"/>
      <x:c r="I472" s="2" t="str">
        <x:v>S022</x:v>
      </x:c>
    </x:row>
    <x:row r="473" ht="27" customHeight="1">
      <x:c r="A473" s="2" t="str">
        <x:v>ae_specialist_seed42_verified</x:v>
      </x:c>
      <x:c r="B473" s="2" t="str">
        <x:v>2005</x:v>
      </x:c>
      <x:c r="C473" s="2" t="n">
        <x:v>32</x:v>
      </x:c>
      <x:c r="D473" s="14" t="n">
        <x:v>5.2804937009955415</x:v>
      </x:c>
      <x:c r="E473" s="14"/>
      <x:c r="F473" s="14"/>
      <x:c r="G473" s="14"/>
      <x:c r="H473" s="14"/>
      <x:c r="I473" s="2" t="str">
        <x:v>S022</x:v>
      </x:c>
    </x:row>
    <x:row r="474" ht="27" customHeight="1">
      <x:c r="A474" s="2" t="str">
        <x:v>ae_specialist_seed42_verified</x:v>
      </x:c>
      <x:c r="B474" s="2" t="str">
        <x:v>2005</x:v>
      </x:c>
      <x:c r="C474" s="2" t="n">
        <x:v>33</x:v>
      </x:c>
      <x:c r="D474" s="14" t="n">
        <x:v>5.27291209019753</x:v>
      </x:c>
      <x:c r="E474" s="14"/>
      <x:c r="F474" s="14"/>
      <x:c r="G474" s="14"/>
      <x:c r="H474" s="14"/>
      <x:c r="I474" s="2" t="str">
        <x:v>S022</x:v>
      </x:c>
    </x:row>
    <x:row r="475" ht="27" customHeight="1">
      <x:c r="A475" s="2" t="str">
        <x:v>ae_specialist_seed42_verified</x:v>
      </x:c>
      <x:c r="B475" s="2" t="str">
        <x:v>2005</x:v>
      </x:c>
      <x:c r="C475" s="2" t="n">
        <x:v>34</x:v>
      </x:c>
      <x:c r="D475" s="14" t="n">
        <x:v>5.240343494674023</x:v>
      </x:c>
      <x:c r="E475" s="14"/>
      <x:c r="F475" s="14"/>
      <x:c r="G475" s="14"/>
      <x:c r="H475" s="14"/>
      <x:c r="I475" s="2" t="str">
        <x:v>S022</x:v>
      </x:c>
    </x:row>
    <x:row r="476" ht="27" customHeight="1">
      <x:c r="A476" s="2" t="str">
        <x:v>ae_specialist_seed42_verified</x:v>
      </x:c>
      <x:c r="B476" s="2" t="str">
        <x:v>2005</x:v>
      </x:c>
      <x:c r="C476" s="2" t="n">
        <x:v>35</x:v>
      </x:c>
      <x:c r="D476" s="14" t="n">
        <x:v>5.221330197839319</x:v>
      </x:c>
      <x:c r="E476" s="14"/>
      <x:c r="F476" s="14"/>
      <x:c r="G476" s="14" t="n">
        <x:v>0.8333333333333334</x:v>
      </x:c>
      <x:c r="H476" s="14"/>
      <x:c r="I476" s="2" t="str">
        <x:v>S022</x:v>
      </x:c>
    </x:row>
    <x:row r="477" ht="27" customHeight="1">
      <x:c r="A477" s="2" t="str">
        <x:v>ae_specialist_seed42_verified</x:v>
      </x:c>
      <x:c r="B477" s="2" t="str">
        <x:v>2005</x:v>
      </x:c>
      <x:c r="C477" s="2" t="n">
        <x:v>36</x:v>
      </x:c>
      <x:c r="D477" s="14" t="n">
        <x:v>5.189275334001595</x:v>
      </x:c>
      <x:c r="E477" s="14"/>
      <x:c r="F477" s="14"/>
      <x:c r="G477" s="14"/>
      <x:c r="H477" s="14"/>
      <x:c r="I477" s="2" t="str">
        <x:v>S022</x:v>
      </x:c>
    </x:row>
    <x:row r="478" ht="27" customHeight="1">
      <x:c r="A478" s="2" t="str">
        <x:v>ae_specialist_seed42_verified</x:v>
      </x:c>
      <x:c r="B478" s="2" t="str">
        <x:v>2005</x:v>
      </x:c>
      <x:c r="C478" s="2" t="n">
        <x:v>37</x:v>
      </x:c>
      <x:c r="D478" s="14" t="n">
        <x:v>5.224562360223127</x:v>
      </x:c>
      <x:c r="E478" s="14"/>
      <x:c r="F478" s="14"/>
      <x:c r="G478" s="14"/>
      <x:c r="H478" s="14"/>
      <x:c r="I478" s="2" t="str">
        <x:v>S022</x:v>
      </x:c>
    </x:row>
    <x:row r="479" ht="27" customHeight="1">
      <x:c r="A479" s="2" t="str">
        <x:v>ae_specialist_seed42_verified</x:v>
      </x:c>
      <x:c r="B479" s="2" t="str">
        <x:v>2005</x:v>
      </x:c>
      <x:c r="C479" s="2" t="n">
        <x:v>38</x:v>
      </x:c>
      <x:c r="D479" s="14" t="n">
        <x:v>5.198288039902393</x:v>
      </x:c>
      <x:c r="E479" s="14"/>
      <x:c r="F479" s="14"/>
      <x:c r="G479" s="14"/>
      <x:c r="H479" s="14"/>
      <x:c r="I479" s="2" t="str">
        <x:v>S022</x:v>
      </x:c>
    </x:row>
    <x:row r="480" ht="27" customHeight="1">
      <x:c r="A480" s="2" t="str">
        <x:v>ae_specialist_seed42_verified</x:v>
      </x:c>
      <x:c r="B480" s="2" t="str">
        <x:v>2005</x:v>
      </x:c>
      <x:c r="C480" s="2" t="n">
        <x:v>39</x:v>
      </x:c>
      <x:c r="D480" s="14" t="n">
        <x:v>5.215354281006367</x:v>
      </x:c>
      <x:c r="E480" s="14"/>
      <x:c r="F480" s="14"/>
      <x:c r="G480" s="14"/>
      <x:c r="H480" s="14"/>
      <x:c r="I480" s="2" t="str">
        <x:v>S022</x:v>
      </x:c>
    </x:row>
    <x:row r="481" ht="27" customHeight="1">
      <x:c r="A481" s="2" t="str">
        <x:v>ae_specialist_seed42_verified</x:v>
      </x:c>
      <x:c r="B481" s="2" t="str">
        <x:v>2005</x:v>
      </x:c>
      <x:c r="C481" s="2" t="n">
        <x:v>40</x:v>
      </x:c>
      <x:c r="D481" s="14" t="n">
        <x:v>5.202210527446406</x:v>
      </x:c>
      <x:c r="E481" s="14"/>
      <x:c r="F481" s="14"/>
      <x:c r="G481" s="14" t="n">
        <x:v>0.9367900694864558</x:v>
      </x:c>
      <x:c r="H481" s="14"/>
      <x:c r="I481" s="2" t="str">
        <x:v>S022</x:v>
      </x:c>
    </x:row>
    <x:row r="482" ht="27" customHeight="1">
      <x:c r="A482" s="2" t="str">
        <x:v>short_coordinated_seed42_v1</x:v>
      </x:c>
      <x:c r="B482" s="2" t="str">
        <x:v>2003 / legacy</x:v>
      </x:c>
      <x:c r="C482" s="2" t="n">
        <x:v>1</x:v>
      </x:c>
      <x:c r="D482" s="14" t="n">
        <x:v>7.754394463565953</x:v>
      </x:c>
      <x:c r="E482" s="14" t="n">
        <x:v>1.0850258230248375</x:v>
      </x:c>
      <x:c r="F482" s="14" t="n">
        <x:v>6.66936865182179</x:v>
      </x:c>
      <x:c r="G482" s="14" t="n">
        <x:v>0.7142857142857143</x:v>
      </x:c>
      <x:c r="H482" s="14" t="n">
        <x:v>75.70718843303621</x:v>
      </x:c>
      <x:c r="I482" s="2" t="str">
        <x:v>S027</x:v>
      </x:c>
    </x:row>
    <x:row r="483" ht="27" customHeight="1">
      <x:c r="A483" s="2" t="str">
        <x:v>short_coordinated_seed42_v1</x:v>
      </x:c>
      <x:c r="B483" s="2" t="str">
        <x:v>2003 / legacy</x:v>
      </x:c>
      <x:c r="C483" s="2" t="n">
        <x:v>2</x:v>
      </x:c>
      <x:c r="D483" s="14" t="n">
        <x:v>5.009568434542097</x:v>
      </x:c>
      <x:c r="E483" s="14" t="n">
        <x:v>0.8034332685001061</x:v>
      </x:c>
      <x:c r="F483" s="14" t="n">
        <x:v>4.206135170539017</x:v>
      </x:c>
      <x:c r="G483" s="14" t="n">
        <x:v>0.2629704932725156</x:v>
      </x:c>
      <x:c r="H483" s="14" t="n">
        <x:v>75.81480571301654</x:v>
      </x:c>
      <x:c r="I483" s="2" t="str">
        <x:v>S027</x:v>
      </x:c>
    </x:row>
    <x:row r="484" ht="27" customHeight="1">
      <x:c r="A484" s="2" t="str">
        <x:v>short_coordinated_seed42_v1</x:v>
      </x:c>
      <x:c r="B484" s="2" t="str">
        <x:v>2003 / legacy</x:v>
      </x:c>
      <x:c r="C484" s="2" t="n">
        <x:v>3</x:v>
      </x:c>
      <x:c r="D484" s="14" t="n">
        <x:v>4.404640920936604</x:v>
      </x:c>
      <x:c r="E484" s="14" t="n">
        <x:v>0.7614600986547178</x:v>
      </x:c>
      <x:c r="F484" s="14" t="n">
        <x:v>3.643180819118724</x:v>
      </x:c>
      <x:c r="G484" s="14" t="n">
        <x:v>0.7142857142857143</x:v>
      </x:c>
      <x:c r="H484" s="14" t="n">
        <x:v>76.02199061703868</x:v>
      </x:c>
      <x:c r="I484" s="2" t="str">
        <x:v>S027</x:v>
      </x:c>
    </x:row>
    <x:row r="485" ht="27" customHeight="1">
      <x:c r="A485" s="2" t="str">
        <x:v>short_coordinated_seed42_v1</x:v>
      </x:c>
      <x:c r="B485" s="2" t="str">
        <x:v>2003 / legacy</x:v>
      </x:c>
      <x:c r="C485" s="2" t="n">
        <x:v>4</x:v>
      </x:c>
      <x:c r="D485" s="14" t="n">
        <x:v>3.841549618469785</x:v>
      </x:c>
      <x:c r="E485" s="14" t="n">
        <x:v>0.6610879205224459</x:v>
      </x:c>
      <x:c r="F485" s="14" t="n">
        <x:v>3.180461697261352</x:v>
      </x:c>
      <x:c r="G485" s="14" t="n">
        <x:v>0.7142857142857143</x:v>
      </x:c>
      <x:c r="H485" s="14" t="n">
        <x:v>76.04014839301817</x:v>
      </x:c>
      <x:c r="I485" s="2" t="str">
        <x:v>S027</x:v>
      </x:c>
    </x:row>
    <x:row r="486" ht="27" customHeight="1">
      <x:c r="A486" s="2" t="str">
        <x:v>short_coordinated_seed42_v1</x:v>
      </x:c>
      <x:c r="B486" s="2" t="str">
        <x:v>2003 / legacy</x:v>
      </x:c>
      <x:c r="C486" s="2" t="n">
        <x:v>5</x:v>
      </x:c>
      <x:c r="D486" s="14" t="n">
        <x:v>3.556099403239882</x:v>
      </x:c>
      <x:c r="E486" s="14" t="n">
        <x:v>0.6160895999740151</x:v>
      </x:c>
      <x:c r="F486" s="14" t="n">
        <x:v>2.940009792137634</x:v>
      </x:c>
      <x:c r="G486" s="14" t="n">
        <x:v>0.7142857142857143</x:v>
      </x:c>
      <x:c r="H486" s="14" t="n">
        <x:v>76.10737063898705</x:v>
      </x:c>
      <x:c r="I486" s="2" t="str">
        <x:v>S027</x:v>
      </x:c>
    </x:row>
    <x:row r="487" ht="27" customHeight="1">
      <x:c r="A487" s="2" t="str">
        <x:v>short_coordinated_seed42_v1</x:v>
      </x:c>
      <x:c r="B487" s="2" t="str">
        <x:v>2003 / short_coordinated</x:v>
      </x:c>
      <x:c r="C487" s="2" t="n">
        <x:v>1</x:v>
      </x:c>
      <x:c r="D487" s="14" t="n">
        <x:v>8.473635402786762</x:v>
      </x:c>
      <x:c r="E487" s="14" t="n">
        <x:v>1.1807672142830041</x:v>
      </x:c>
      <x:c r="F487" s="14" t="n">
        <x:v>7.292868173945591</x:v>
      </x:c>
      <x:c r="G487" s="14" t="n">
        <x:v>0.7142857142857143</x:v>
      </x:c>
      <x:c r="H487" s="14" t="n">
        <x:v>82.67331737885252</x:v>
      </x:c>
      <x:c r="I487" s="2" t="str">
        <x:v>S028</x:v>
      </x:c>
    </x:row>
    <x:row r="488" ht="27" customHeight="1">
      <x:c r="A488" s="2" t="str">
        <x:v>short_coordinated_seed42_v1</x:v>
      </x:c>
      <x:c r="B488" s="2" t="str">
        <x:v>2003 / short_coordinated</x:v>
      </x:c>
      <x:c r="C488" s="2" t="n">
        <x:v>2</x:v>
      </x:c>
      <x:c r="D488" s="14" t="n">
        <x:v>6.539155971058799</x:v>
      </x:c>
      <x:c r="E488" s="14" t="n">
        <x:v>1.1454902657919832</x:v>
      </x:c>
      <x:c r="F488" s="14" t="n">
        <x:v>5.393665708849192</x:v>
      </x:c>
      <x:c r="G488" s="14" t="n">
        <x:v>0.2627205467917505</x:v>
      </x:c>
      <x:c r="H488" s="14" t="n">
        <x:v>82.63739125104621</x:v>
      </x:c>
      <x:c r="I488" s="2" t="str">
        <x:v>S028</x:v>
      </x:c>
    </x:row>
    <x:row r="489" ht="27" customHeight="1">
      <x:c r="A489" s="2" t="str">
        <x:v>short_coordinated_seed42_v1</x:v>
      </x:c>
      <x:c r="B489" s="2" t="str">
        <x:v>2003 / short_coordinated</x:v>
      </x:c>
      <x:c r="C489" s="2" t="n">
        <x:v>3</x:v>
      </x:c>
      <x:c r="D489" s="14" t="n">
        <x:v>5.6098039839273826</x:v>
      </x:c>
      <x:c r="E489" s="14" t="n">
        <x:v>0.9840648141510956</x:v>
      </x:c>
      <x:c r="F489" s="14" t="n">
        <x:v>4.625739165889028</x:v>
      </x:c>
      <x:c r="G489" s="14" t="n">
        <x:v>0.7142857142857143</x:v>
      </x:c>
      <x:c r="H489" s="14" t="n">
        <x:v>82.321520247031</x:v>
      </x:c>
      <x:c r="I489" s="2" t="str">
        <x:v>S028</x:v>
      </x:c>
    </x:row>
    <x:row r="490" ht="27" customHeight="1">
      <x:c r="A490" s="2" t="str">
        <x:v>short_coordinated_seed42_v1</x:v>
      </x:c>
      <x:c r="B490" s="2" t="str">
        <x:v>2003 / short_coordinated</x:v>
      </x:c>
      <x:c r="C490" s="2" t="n">
        <x:v>4</x:v>
      </x:c>
      <x:c r="D490" s="14" t="n">
        <x:v>4.91987675474123</x:v>
      </x:c>
      <x:c r="E490" s="14" t="n">
        <x:v>0.7749044201563081</x:v>
      </x:c>
      <x:c r="F490" s="14" t="n">
        <x:v>4.144972336566662</x:v>
      </x:c>
      <x:c r="G490" s="14" t="n">
        <x:v>0.7142857142857143</x:v>
      </x:c>
      <x:c r="H490" s="14" t="n">
        <x:v>82.36104627791792</x:v>
      </x:c>
      <x:c r="I490" s="2" t="str">
        <x:v>S028</x:v>
      </x:c>
    </x:row>
    <x:row r="491" ht="27" customHeight="1">
      <x:c r="A491" s="2" t="str">
        <x:v>short_coordinated_seed42_v1</x:v>
      </x:c>
      <x:c r="B491" s="2" t="str">
        <x:v>2003 / short_coordinated</x:v>
      </x:c>
      <x:c r="C491" s="2" t="n">
        <x:v>5</x:v>
      </x:c>
      <x:c r="D491" s="14" t="n">
        <x:v>4.644901698812499</x:v>
      </x:c>
      <x:c r="E491" s="14" t="n">
        <x:v>0.7135805135873883</x:v>
      </x:c>
      <x:c r="F491" s="14" t="n">
        <x:v>3.931321186177871</x:v>
      </x:c>
      <x:c r="G491" s="14" t="n">
        <x:v>0.7142857142857143</x:v>
      </x:c>
      <x:c r="H491" s="14" t="n">
        <x:v>82.25259891501628</x:v>
      </x:c>
      <x:c r="I491" s="2" t="str">
        <x:v>S028</x:v>
      </x:c>
    </x:row>
    <x:row r="492" ht="27" customHeight="1">
      <x:c r="A492" s="2" t="str">
        <x:v>short_coordinated_seed42_v1</x:v>
      </x:c>
      <x:c r="B492" s="2" t="str">
        <x:v>2004 / legacy</x:v>
      </x:c>
      <x:c r="C492" s="2" t="n">
        <x:v>1</x:v>
      </x:c>
      <x:c r="D492" s="14" t="n">
        <x:v>7.7313059559258654</x:v>
      </x:c>
      <x:c r="E492" s="14" t="n">
        <x:v>1.0880878072260591</x:v>
      </x:c>
      <x:c r="F492" s="14" t="n">
        <x:v>6.643218142907028</x:v>
      </x:c>
      <x:c r="G492" s="14" t="n">
        <x:v>0</x:v>
      </x:c>
      <x:c r="H492" s="14" t="n">
        <x:v>75.20229110005312</x:v>
      </x:c>
      <x:c r="I492" s="2" t="str">
        <x:v>S029</x:v>
      </x:c>
    </x:row>
    <x:row r="493" ht="27" customHeight="1">
      <x:c r="A493" s="2" t="str">
        <x:v>short_coordinated_seed42_v1</x:v>
      </x:c>
      <x:c r="B493" s="2" t="str">
        <x:v>2004 / legacy</x:v>
      </x:c>
      <x:c r="C493" s="2" t="n">
        <x:v>2</x:v>
      </x:c>
      <x:c r="D493" s="14" t="n">
        <x:v>5.10618953326779</x:v>
      </x:c>
      <x:c r="E493" s="14" t="n">
        <x:v>0.8026637861795742</x:v>
      </x:c>
      <x:c r="F493" s="14" t="n">
        <x:v>4.3035257508992535</x:v>
      </x:c>
      <x:c r="G493" s="14" t="n">
        <x:v>0.23758222324322237</x:v>
      </x:c>
      <x:c r="H493" s="14" t="n">
        <x:v>75.82342638191767</x:v>
      </x:c>
      <x:c r="I493" s="2" t="str">
        <x:v>S029</x:v>
      </x:c>
    </x:row>
    <x:row r="494" ht="27" customHeight="1">
      <x:c r="A494" s="2" t="str">
        <x:v>short_coordinated_seed42_v1</x:v>
      </x:c>
      <x:c r="B494" s="2" t="str">
        <x:v>2004 / legacy</x:v>
      </x:c>
      <x:c r="C494" s="2" t="n">
        <x:v>3</x:v>
      </x:c>
      <x:c r="D494" s="14" t="n">
        <x:v>4.301577657689829</x:v>
      </x:c>
      <x:c r="E494" s="14" t="n">
        <x:v>0.7125563123799346</x:v>
      </x:c>
      <x:c r="F494" s="14" t="n">
        <x:v>3.589021344319024</x:v>
      </x:c>
      <x:c r="G494" s="14" t="n">
        <x:v>0</x:v>
      </x:c>
      <x:c r="H494" s="14" t="n">
        <x:v>75.97499468689784</x:v>
      </x:c>
      <x:c r="I494" s="2" t="str">
        <x:v>S029</x:v>
      </x:c>
    </x:row>
    <x:row r="495" ht="27" customHeight="1">
      <x:c r="A495" s="2" t="str">
        <x:v>short_coordinated_seed42_v1</x:v>
      </x:c>
      <x:c r="B495" s="2" t="str">
        <x:v>2004 / legacy</x:v>
      </x:c>
      <x:c r="C495" s="2" t="n">
        <x:v>4</x:v>
      </x:c>
      <x:c r="D495" s="14" t="n">
        <x:v>3.8926771132232587</x:v>
      </x:c>
      <x:c r="E495" s="14" t="n">
        <x:v>0.6537400409007621</x:v>
      </x:c>
      <x:c r="F495" s="14" t="n">
        <x:v>3.238937066034283</x:v>
      </x:c>
      <x:c r="G495" s="14" t="n">
        <x:v>0</x:v>
      </x:c>
      <x:c r="H495" s="14" t="n">
        <x:v>75.81122451508418</x:v>
      </x:c>
      <x:c r="I495" s="2" t="str">
        <x:v>S029</x:v>
      </x:c>
    </x:row>
    <x:row r="496" ht="27" customHeight="1">
      <x:c r="A496" s="2" t="str">
        <x:v>short_coordinated_seed42_v1</x:v>
      </x:c>
      <x:c r="B496" s="2" t="str">
        <x:v>2004 / legacy</x:v>
      </x:c>
      <x:c r="C496" s="2" t="n">
        <x:v>5</x:v>
      </x:c>
      <x:c r="D496" s="14" t="n">
        <x:v>3.633103484387898</x:v>
      </x:c>
      <x:c r="E496" s="14" t="n">
        <x:v>0.5818557662655935</x:v>
      </x:c>
      <x:c r="F496" s="14" t="n">
        <x:v>3.0512477205232584</x:v>
      </x:c>
      <x:c r="G496" s="14" t="n">
        <x:v>0</x:v>
      </x:c>
      <x:c r="H496" s="14" t="n">
        <x:v>75.88976236106828</x:v>
      </x:c>
      <x:c r="I496" s="2" t="str">
        <x:v>S029</x:v>
      </x:c>
    </x:row>
    <x:row r="497" ht="27" customHeight="1">
      <x:c r="A497" s="2" t="str">
        <x:v>short_coordinated_seed42_v1</x:v>
      </x:c>
      <x:c r="B497" s="2" t="str">
        <x:v>2004 / short_coordinated</x:v>
      </x:c>
      <x:c r="C497" s="2" t="n">
        <x:v>1</x:v>
      </x:c>
      <x:c r="D497" s="14" t="n">
        <x:v>8.316063300423</x:v>
      </x:c>
      <x:c r="E497" s="14" t="n">
        <x:v>1.154296197702208</x:v>
      </x:c>
      <x:c r="F497" s="14" t="n">
        <x:v>7.161767099824403</x:v>
      </x:c>
      <x:c r="G497" s="14" t="n">
        <x:v>0</x:v>
      </x:c>
      <x:c r="H497" s="14" t="n">
        <x:v>82.54341504303738</x:v>
      </x:c>
      <x:c r="I497" s="2" t="str">
        <x:v>S030</x:v>
      </x:c>
    </x:row>
    <x:row r="498" ht="27" customHeight="1">
      <x:c r="A498" s="2" t="str">
        <x:v>short_coordinated_seed42_v1</x:v>
      </x:c>
      <x:c r="B498" s="2" t="str">
        <x:v>2004 / short_coordinated</x:v>
      </x:c>
      <x:c r="C498" s="2" t="n">
        <x:v>2</x:v>
      </x:c>
      <x:c r="D498" s="14" t="n">
        <x:v>5.58921591644092</x:v>
      </x:c>
      <x:c r="E498" s="14" t="n">
        <x:v>0.9105146674777541</x:v>
      </x:c>
      <x:c r="F498" s="14" t="n">
        <x:v>4.678701234900433</x:v>
      </x:c>
      <x:c r="G498" s="14" t="n">
        <x:v>0</x:v>
      </x:c>
      <x:c r="H498" s="14" t="n">
        <x:v>82.3967570879031</x:v>
      </x:c>
      <x:c r="I498" s="2" t="str">
        <x:v>S030</x:v>
      </x:c>
    </x:row>
    <x:row r="499" ht="27" customHeight="1">
      <x:c r="A499" s="2" t="str">
        <x:v>short_coordinated_seed42_v1</x:v>
      </x:c>
      <x:c r="B499" s="2" t="str">
        <x:v>2004 / short_coordinated</x:v>
      </x:c>
      <x:c r="C499" s="2" t="n">
        <x:v>3</x:v>
      </x:c>
      <x:c r="D499" s="14" t="n">
        <x:v>5.0409403286321695</x:v>
      </x:c>
      <x:c r="E499" s="14" t="n">
        <x:v>0.7808915294725877</x:v>
      </x:c>
      <x:c r="F499" s="14" t="n">
        <x:v>4.260048799807458</x:v>
      </x:c>
      <x:c r="G499" s="14" t="n">
        <x:v>0</x:v>
      </x:c>
      <x:c r="H499" s="14" t="n">
        <x:v>82.51351898303255</x:v>
      </x:c>
      <x:c r="I499" s="2" t="str">
        <x:v>S030</x:v>
      </x:c>
    </x:row>
    <x:row r="500" ht="27" customHeight="1">
      <x:c r="A500" s="2" t="str">
        <x:v>short_coordinated_seed42_v1</x:v>
      </x:c>
      <x:c r="B500" s="2" t="str">
        <x:v>2004 / short_coordinated</x:v>
      </x:c>
      <x:c r="C500" s="2" t="n">
        <x:v>4</x:v>
      </x:c>
      <x:c r="D500" s="14" t="n">
        <x:v>4.8002164205321876</x:v>
      </x:c>
      <x:c r="E500" s="14" t="n">
        <x:v>0.7155569909554919</x:v>
      </x:c>
      <x:c r="F500" s="14" t="n">
        <x:v>4.08465943982839</x:v>
      </x:c>
      <x:c r="G500" s="14" t="n">
        <x:v>0</x:v>
      </x:c>
      <x:c r="H500" s="14" t="n">
        <x:v>82.36248251679353</x:v>
      </x:c>
      <x:c r="I500" s="2" t="str">
        <x:v>S030</x:v>
      </x:c>
    </x:row>
    <x:row r="501" ht="27" customHeight="1">
      <x:c r="A501" s="2" t="str">
        <x:v>short_coordinated_seed42_v1</x:v>
      </x:c>
      <x:c r="B501" s="2" t="str">
        <x:v>2004 / short_coordinated</x:v>
      </x:c>
      <x:c r="C501" s="2" t="n">
        <x:v>5</x:v>
      </x:c>
      <x:c r="D501" s="14" t="n">
        <x:v>4.592048513310035</x:v>
      </x:c>
      <x:c r="E501" s="14" t="n">
        <x:v>0.6802852948760743</x:v>
      </x:c>
      <x:c r="F501" s="14" t="n">
        <x:v>3.9117632131747273</x:v>
      </x:c>
      <x:c r="G501" s="14" t="n">
        <x:v>0</x:v>
      </x:c>
      <x:c r="H501" s="14" t="n">
        <x:v>82.38184174196795</x:v>
      </x:c>
      <x:c r="I501" s="2" t="str">
        <x:v>S030</x:v>
      </x:c>
    </x:row>
    <x:row r="502" ht="27" customHeight="1">
      <x:c r="A502" s="2" t="str">
        <x:v>short_coordinated_seed42_v1</x:v>
      </x:c>
      <x:c r="B502" s="2" t="str">
        <x:v>2005 / legacy</x:v>
      </x:c>
      <x:c r="C502" s="2" t="n">
        <x:v>1</x:v>
      </x:c>
      <x:c r="D502" s="14" t="n">
        <x:v>7.849612003092266</x:v>
      </x:c>
      <x:c r="E502" s="14" t="n">
        <x:v>1.1126844321217988</x:v>
      </x:c>
      <x:c r="F502" s="14" t="n">
        <x:v>6.7369275922360625</x:v>
      </x:c>
      <x:c r="G502" s="14" t="n">
        <x:v>0.8328804736937059</x:v>
      </x:c>
      <x:c r="H502" s="14" t="n">
        <x:v>75.38855301914737</x:v>
      </x:c>
      <x:c r="I502" s="2" t="str">
        <x:v>S031</x:v>
      </x:c>
    </x:row>
    <x:row r="503" ht="27" customHeight="1">
      <x:c r="A503" s="2" t="str">
        <x:v>short_coordinated_seed42_v1</x:v>
      </x:c>
      <x:c r="B503" s="2" t="str">
        <x:v>2005 / legacy</x:v>
      </x:c>
      <x:c r="C503" s="2" t="n">
        <x:v>2</x:v>
      </x:c>
      <x:c r="D503" s="14" t="n">
        <x:v>5.076573505426002</x:v>
      </x:c>
      <x:c r="E503" s="14" t="n">
        <x:v>0.8451974843164234</x:v>
      </x:c>
      <x:c r="F503" s="14" t="n">
        <x:v>4.231376011353319</x:v>
      </x:c>
      <x:c r="G503" s="14" t="n">
        <x:v>0.8328804736937059</x:v>
      </x:c>
      <x:c r="H503" s="14" t="n">
        <x:v>75.90699832700193</x:v>
      </x:c>
      <x:c r="I503" s="2" t="str">
        <x:v>S031</x:v>
      </x:c>
    </x:row>
    <x:row r="504" ht="27" customHeight="1">
      <x:c r="A504" s="2" t="str">
        <x:v>short_coordinated_seed42_v1</x:v>
      </x:c>
      <x:c r="B504" s="2" t="str">
        <x:v>2005 / legacy</x:v>
      </x:c>
      <x:c r="C504" s="2" t="n">
        <x:v>3</x:v>
      </x:c>
      <x:c r="D504" s="14" t="n">
        <x:v>4.378436216612911</x:v>
      </x:c>
      <x:c r="E504" s="14" t="n">
        <x:v>0.7723159348720785</x:v>
      </x:c>
      <x:c r="F504" s="14" t="n">
        <x:v>3.60612029431726</x:v>
      </x:c>
      <x:c r="G504" s="14" t="n">
        <x:v>0.8328804736937059</x:v>
      </x:c>
      <x:c r="H504" s="14" t="n">
        <x:v>75.7876550660003</x:v>
      </x:c>
      <x:c r="I504" s="2" t="str">
        <x:v>S031</x:v>
      </x:c>
    </x:row>
    <x:row r="505" ht="27" customHeight="1">
      <x:c r="A505" s="2" t="str">
        <x:v>short_coordinated_seed42_v1</x:v>
      </x:c>
      <x:c r="B505" s="2" t="str">
        <x:v>2005 / legacy</x:v>
      </x:c>
      <x:c r="C505" s="2" t="n">
        <x:v>4</x:v>
      </x:c>
      <x:c r="D505" s="14" t="n">
        <x:v>3.9060404294592037</x:v>
      </x:c>
      <x:c r="E505" s="14" t="n">
        <x:v>0.6475098521431999</x:v>
      </x:c>
      <x:c r="F505" s="14" t="n">
        <x:v>3.258530575601036</x:v>
      </x:c>
      <x:c r="G505" s="14" t="n">
        <x:v>0.8328804736937059</x:v>
      </x:c>
      <x:c r="H505" s="14" t="n">
        <x:v>75.85573827894405</x:v>
      </x:c>
      <x:c r="I505" s="2" t="str">
        <x:v>S031</x:v>
      </x:c>
    </x:row>
    <x:row r="506" ht="27" customHeight="1">
      <x:c r="A506" s="2" t="str">
        <x:v>short_coordinated_seed42_v1</x:v>
      </x:c>
      <x:c r="B506" s="2" t="str">
        <x:v>2005 / legacy</x:v>
      </x:c>
      <x:c r="C506" s="2" t="n">
        <x:v>5</x:v>
      </x:c>
      <x:c r="D506" s="14" t="n">
        <x:v>3.6341047905899986</x:v>
      </x:c>
      <x:c r="E506" s="14" t="n">
        <x:v>0.5966230143823892</x:v>
      </x:c>
      <x:c r="F506" s="14" t="n">
        <x:v>3.0374817787228947</x:v>
      </x:c>
      <x:c r="G506" s="14" t="n">
        <x:v>0.8328804736937059</x:v>
      </x:c>
      <x:c r="H506" s="14" t="n">
        <x:v>75.79144308296964</x:v>
      </x:c>
      <x:c r="I506" s="2" t="str">
        <x:v>S031</x:v>
      </x:c>
    </x:row>
    <x:row r="507" ht="27" customHeight="1">
      <x:c r="A507" s="2" t="str">
        <x:v>short_coordinated_seed42_v1</x:v>
      </x:c>
      <x:c r="B507" s="2" t="str">
        <x:v>2005 / short_coordinated</x:v>
      </x:c>
      <x:c r="C507" s="2" t="n">
        <x:v>1</x:v>
      </x:c>
      <x:c r="D507" s="14" t="n">
        <x:v>8.385129345652393</x:v>
      </x:c>
      <x:c r="E507" s="14" t="n">
        <x:v>1.1731578791537858</x:v>
      </x:c>
      <x:c r="F507" s="14" t="n">
        <x:v>7.211971443937258</x:v>
      </x:c>
      <x:c r="G507" s="14" t="n">
        <x:v>0.8328804736937059</x:v>
      </x:c>
      <x:c r="H507" s="14" t="n">
        <x:v>82.25779824587516</x:v>
      </x:c>
      <x:c r="I507" s="2" t="str">
        <x:v>S032</x:v>
      </x:c>
    </x:row>
    <x:row r="508" ht="27" customHeight="1">
      <x:c r="A508" s="2" t="str">
        <x:v>short_coordinated_seed42_v1</x:v>
      </x:c>
      <x:c r="B508" s="2" t="str">
        <x:v>2005 / short_coordinated</x:v>
      </x:c>
      <x:c r="C508" s="2" t="n">
        <x:v>2</x:v>
      </x:c>
      <x:c r="D508" s="14" t="n">
        <x:v>6.433073262119537</x:v>
      </x:c>
      <x:c r="E508" s="14" t="n">
        <x:v>1.1125978553843925</x:v>
      </x:c>
      <x:c r="F508" s="14" t="n">
        <x:v>5.320475416720066</x:v>
      </x:c>
      <x:c r="G508" s="14" t="n">
        <x:v>0.8328804736937059</x:v>
      </x:c>
      <x:c r="H508" s="14" t="n">
        <x:v>82.32871126406826</x:v>
      </x:c>
      <x:c r="I508" s="2" t="str">
        <x:v>S032</x:v>
      </x:c>
    </x:row>
    <x:row r="509" ht="27" customHeight="1">
      <x:c r="A509" s="2" t="str">
        <x:v>short_coordinated_seed42_v1</x:v>
      </x:c>
      <x:c r="B509" s="2" t="str">
        <x:v>2005 / short_coordinated</x:v>
      </x:c>
      <x:c r="C509" s="2" t="n">
        <x:v>3</x:v>
      </x:c>
      <x:c r="D509" s="14" t="n">
        <x:v>5.6087416407397335</x:v>
      </x:c>
      <x:c r="E509" s="14" t="n">
        <x:v>0.9797157008782067</x:v>
      </x:c>
      <x:c r="F509" s="14" t="n">
        <x:v>4.629025944053669</x:v>
      </x:c>
      <x:c r="G509" s="14" t="n">
        <x:v>0.8328804736937059</x:v>
      </x:c>
      <x:c r="H509" s="14" t="n">
        <x:v>82.50110590993427</x:v>
      </x:c>
      <x:c r="I509" s="2" t="str">
        <x:v>S032</x:v>
      </x:c>
    </x:row>
    <x:row r="510" ht="27" customHeight="1">
      <x:c r="A510" s="2" t="str">
        <x:v>short_coordinated_seed42_v1</x:v>
      </x:c>
      <x:c r="B510" s="2" t="str">
        <x:v>2005 / short_coordinated</x:v>
      </x:c>
      <x:c r="C510" s="2" t="n">
        <x:v>4</x:v>
      </x:c>
      <x:c r="D510" s="14" t="n">
        <x:v>4.981282043944844</x:v>
      </x:c>
      <x:c r="E510" s="14" t="n">
        <x:v>0.7816854511456721</x:v>
      </x:c>
      <x:c r="F510" s="14" t="n">
        <x:v>4.1995965922275165</x:v>
      </x:c>
      <x:c r="G510" s="14" t="n">
        <x:v>0.8328804736937059</x:v>
      </x:c>
      <x:c r="H510" s="14" t="n">
        <x:v>82.39689679490402</x:v>
      </x:c>
      <x:c r="I510" s="2" t="str">
        <x:v>S032</x:v>
      </x:c>
    </x:row>
    <x:row r="511" ht="27" customHeight="1">
      <x:c r="A511" s="2" t="str">
        <x:v>short_coordinated_seed42_v1</x:v>
      </x:c>
      <x:c r="B511" s="2" t="str">
        <x:v>2005 / short_coordinated</x:v>
      </x:c>
      <x:c r="C511" s="2" t="n">
        <x:v>5</x:v>
      </x:c>
      <x:c r="D511" s="14" t="n">
        <x:v>4.676778499427659</x:v>
      </x:c>
      <x:c r="E511" s="14" t="n">
        <x:v>0.7105159072772317</x:v>
      </x:c>
      <x:c r="F511" s="14" t="n">
        <x:v>3.9662625911595573</x:v>
      </x:c>
      <x:c r="G511" s="14" t="n">
        <x:v>0.8328804736937059</x:v>
      </x:c>
      <x:c r="H511" s="14" t="n">
        <x:v>82.39554508193396</x:v>
      </x:c>
      <x:c r="I511" s="2" t="str">
        <x:v>S032</x:v>
      </x:c>
    </x:row>
    <x:row r="512" ht="27" customHeight="1">
      <x:c r="A512" s="2" t="str">
        <x:v>short_coordinated_seed43_v1</x:v>
      </x:c>
      <x:c r="B512" s="2" t="str">
        <x:v>2003 / legacy</x:v>
      </x:c>
      <x:c r="C512" s="2" t="n">
        <x:v>1</x:v>
      </x:c>
      <x:c r="D512" s="14" t="n">
        <x:v>7.7480753596176575</x:v>
      </x:c>
      <x:c r="E512" s="14" t="n">
        <x:v>1.005910608012353</x:v>
      </x:c>
      <x:c r="F512" s="14" t="n">
        <x:v>6.742164750843097</x:v>
      </x:c>
      <x:c r="G512" s="14" t="n">
        <x:v>0.7142857142857143</x:v>
      </x:c>
      <x:c r="H512" s="14" t="n">
        <x:v>75.67637269408442</x:v>
      </x:c>
      <x:c r="I512" s="2" t="str">
        <x:v>S035</x:v>
      </x:c>
    </x:row>
    <x:row r="513" ht="27" customHeight="1">
      <x:c r="A513" s="2" t="str">
        <x:v>short_coordinated_seed43_v1</x:v>
      </x:c>
      <x:c r="B513" s="2" t="str">
        <x:v>2003 / legacy</x:v>
      </x:c>
      <x:c r="C513" s="2" t="n">
        <x:v>2</x:v>
      </x:c>
      <x:c r="D513" s="14" t="n">
        <x:v>5.397301854379951</x:v>
      </x:c>
      <x:c r="E513" s="14" t="n">
        <x:v>0.8139666342140769</x:v>
      </x:c>
      <x:c r="F513" s="14" t="n">
        <x:v>4.583335216088063</x:v>
      </x:c>
      <x:c r="G513" s="14" t="n">
        <x:v>0.26268929722282514</x:v>
      </x:c>
      <x:c r="H513" s="14" t="n">
        <x:v>75.80997256399132</x:v>
      </x:c>
      <x:c r="I513" s="2" t="str">
        <x:v>S035</x:v>
      </x:c>
    </x:row>
    <x:row r="514" ht="27" customHeight="1">
      <x:c r="A514" s="2" t="str">
        <x:v>short_coordinated_seed43_v1</x:v>
      </x:c>
      <x:c r="B514" s="2" t="str">
        <x:v>2003 / legacy</x:v>
      </x:c>
      <x:c r="C514" s="2" t="n">
        <x:v>3</x:v>
      </x:c>
      <x:c r="D514" s="14" t="n">
        <x:v>4.586831632477548</x:v>
      </x:c>
      <x:c r="E514" s="14" t="n">
        <x:v>0.6766989629744263</x:v>
      </x:c>
      <x:c r="F514" s="14" t="n">
        <x:v>3.9101326715610827</x:v>
      </x:c>
      <x:c r="G514" s="14" t="n">
        <x:v>0.21680499930816274</x:v>
      </x:c>
      <x:c r="H514" s="14" t="n">
        <x:v>75.79197755898349</x:v>
      </x:c>
      <x:c r="I514" s="2" t="str">
        <x:v>S035</x:v>
      </x:c>
    </x:row>
    <x:row r="515" ht="27" customHeight="1">
      <x:c r="A515" s="2" t="str">
        <x:v>short_coordinated_seed43_v1</x:v>
      </x:c>
      <x:c r="B515" s="2" t="str">
        <x:v>2003 / legacy</x:v>
      </x:c>
      <x:c r="C515" s="2" t="n">
        <x:v>4</x:v>
      </x:c>
      <x:c r="D515" s="14" t="n">
        <x:v>4.252441902599676</x:v>
      </x:c>
      <x:c r="E515" s="14" t="n">
        <x:v>0.6497428036101943</x:v>
      </x:c>
      <x:c r="F515" s="14" t="n">
        <x:v>3.6026990886234564</x:v>
      </x:c>
      <x:c r="G515" s="14" t="n">
        <x:v>0.2164583232986765</x:v>
      </x:c>
      <x:c r="H515" s="14" t="n">
        <x:v>75.96369349700399</x:v>
      </x:c>
      <x:c r="I515" s="2" t="str">
        <x:v>S035</x:v>
      </x:c>
    </x:row>
    <x:row r="516" ht="27" customHeight="1">
      <x:c r="A516" s="2" t="str">
        <x:v>short_coordinated_seed43_v1</x:v>
      </x:c>
      <x:c r="B516" s="2" t="str">
        <x:v>2003 / legacy</x:v>
      </x:c>
      <x:c r="C516" s="2" t="n">
        <x:v>5</x:v>
      </x:c>
      <x:c r="D516" s="14" t="n">
        <x:v>3.9593259593105072</x:v>
      </x:c>
      <x:c r="E516" s="14" t="n">
        <x:v>0.5945296517723356</x:v>
      </x:c>
      <x:c r="F516" s="14" t="n">
        <x:v>3.3647963092150284</x:v>
      </x:c>
      <x:c r="G516" s="14" t="n">
        <x:v>0.3326941775100421</x:v>
      </x:c>
      <x:c r="H516" s="14" t="n">
        <x:v>75.70096214790829</x:v>
      </x:c>
      <x:c r="I516" s="2" t="str">
        <x:v>S035</x:v>
      </x:c>
    </x:row>
    <x:row r="517" ht="27" customHeight="1">
      <x:c r="A517" s="2" t="str">
        <x:v>short_coordinated_seed43_v1</x:v>
      </x:c>
      <x:c r="B517" s="2" t="str">
        <x:v>2003 / short_coordinated</x:v>
      </x:c>
      <x:c r="C517" s="2" t="n">
        <x:v>1</x:v>
      </x:c>
      <x:c r="D517" s="14" t="n">
        <x:v>8.1915770881926</x:v>
      </x:c>
      <x:c r="E517" s="14" t="n">
        <x:v>1.097647864114293</x:v>
      </x:c>
      <x:c r="F517" s="14" t="n">
        <x:v>7.093929226136269</x:v>
      </x:c>
      <x:c r="G517" s="14" t="n">
        <x:v>0.7142857142857143</x:v>
      </x:c>
      <x:c r="H517" s="14" t="n">
        <x:v>82.31208743411116</x:v>
      </x:c>
      <x:c r="I517" s="2" t="str">
        <x:v>S036</x:v>
      </x:c>
    </x:row>
    <x:row r="518" ht="27" customHeight="1">
      <x:c r="A518" s="2" t="str">
        <x:v>short_coordinated_seed43_v1</x:v>
      </x:c>
      <x:c r="B518" s="2" t="str">
        <x:v>2003 / short_coordinated</x:v>
      </x:c>
      <x:c r="C518" s="2" t="n">
        <x:v>2</x:v>
      </x:c>
      <x:c r="D518" s="14" t="n">
        <x:v>5.6867810960315985</x:v>
      </x:c>
      <x:c r="E518" s="14" t="n">
        <x:v>0.8889051751255075</x:v>
      </x:c>
      <x:c r="F518" s="14" t="n">
        <x:v>4.797875920220104</x:v>
      </x:c>
      <x:c r="G518" s="14" t="n">
        <x:v>0.45449886673791084</x:v>
      </x:c>
      <x:c r="H518" s="14" t="n">
        <x:v>82.35558533994481</x:v>
      </x:c>
      <x:c r="I518" s="2" t="str">
        <x:v>S036</x:v>
      </x:c>
    </x:row>
    <x:row r="519" ht="27" customHeight="1">
      <x:c r="A519" s="2" t="str">
        <x:v>short_coordinated_seed43_v1</x:v>
      </x:c>
      <x:c r="B519" s="2" t="str">
        <x:v>2003 / short_coordinated</x:v>
      </x:c>
      <x:c r="C519" s="2" t="n">
        <x:v>3</x:v>
      </x:c>
      <x:c r="D519" s="14" t="n">
        <x:v>5.299199733587787</x:v>
      </x:c>
      <x:c r="E519" s="14" t="n">
        <x:v>0.8182049892518831</x:v>
      </x:c>
      <x:c r="F519" s="14" t="n">
        <x:v>4.48099474589843</x:v>
      </x:c>
      <x:c r="G519" s="14" t="n">
        <x:v>0.4544056803783998</x:v>
      </x:c>
      <x:c r="H519" s="14" t="n">
        <x:v>82.42670896882191</x:v>
      </x:c>
      <x:c r="I519" s="2" t="str">
        <x:v>S036</x:v>
      </x:c>
    </x:row>
    <x:row r="520" ht="27" customHeight="1">
      <x:c r="A520" s="2" t="str">
        <x:v>short_coordinated_seed43_v1</x:v>
      </x:c>
      <x:c r="B520" s="2" t="str">
        <x:v>2003 / short_coordinated</x:v>
      </x:c>
      <x:c r="C520" s="2" t="n">
        <x:v>4</x:v>
      </x:c>
      <x:c r="D520" s="14" t="n">
        <x:v>4.990890079142187</x:v>
      </x:c>
      <x:c r="E520" s="14" t="n">
        <x:v>0.746752960831308</x:v>
      </x:c>
      <x:c r="F520" s="14" t="n">
        <x:v>4.244137119454191</x:v>
      </x:c>
      <x:c r="G520" s="14" t="n">
        <x:v>0.45449886673791084</x:v>
      </x:c>
      <x:c r="H520" s="14" t="n">
        <x:v>82.63961518509313</x:v>
      </x:c>
      <x:c r="I520" s="2" t="str">
        <x:v>S036</x:v>
      </x:c>
    </x:row>
    <x:row r="521" ht="27" customHeight="1">
      <x:c r="A521" s="2" t="str">
        <x:v>short_coordinated_seed43_v1</x:v>
      </x:c>
      <x:c r="B521" s="2" t="str">
        <x:v>2003 / short_coordinated</x:v>
      </x:c>
      <x:c r="C521" s="2" t="n">
        <x:v>5</x:v>
      </x:c>
      <x:c r="D521" s="14" t="n">
        <x:v>4.8608890439543275</x:v>
      </x:c>
      <x:c r="E521" s="14" t="n">
        <x:v>0.7533761457256649</x:v>
      </x:c>
      <x:c r="F521" s="14" t="n">
        <x:v>4.107512893579195</x:v>
      </x:c>
      <x:c r="G521" s="14" t="n">
        <x:v>0.4544522753490304</x:v>
      </x:c>
      <x:c r="H521" s="14" t="n">
        <x:v>82.2652514888905</x:v>
      </x:c>
      <x:c r="I521" s="2" t="str">
        <x:v>S036</x:v>
      </x:c>
    </x:row>
    <x:row r="522" ht="27" customHeight="1">
      <x:c r="A522" s="2" t="str">
        <x:v>short_coordinated_seed43_v1</x:v>
      </x:c>
      <x:c r="B522" s="2" t="str">
        <x:v>2004 / legacy</x:v>
      </x:c>
      <x:c r="C522" s="2" t="n">
        <x:v>1</x:v>
      </x:c>
      <x:c r="D522" s="14" t="n">
        <x:v>7.871909037880275</x:v>
      </x:c>
      <x:c r="E522" s="14" t="n">
        <x:v>1.0573296434129291</x:v>
      </x:c>
      <x:c r="F522" s="14" t="n">
        <x:v>6.814579403308956</x:v>
      </x:c>
      <x:c r="G522" s="14" t="n">
        <x:v>0</x:v>
      </x:c>
      <x:c r="H522" s="14" t="n">
        <x:v>75.49186977208592</x:v>
      </x:c>
      <x:c r="I522" s="2" t="str">
        <x:v>S037</x:v>
      </x:c>
    </x:row>
    <x:row r="523" ht="27" customHeight="1">
      <x:c r="A523" s="2" t="str">
        <x:v>short_coordinated_seed43_v1</x:v>
      </x:c>
      <x:c r="B523" s="2" t="str">
        <x:v>2004 / legacy</x:v>
      </x:c>
      <x:c r="C523" s="2" t="n">
        <x:v>2</x:v>
      </x:c>
      <x:c r="D523" s="14" t="n">
        <x:v>5.444739067341056</x:v>
      </x:c>
      <x:c r="E523" s="14" t="n">
        <x:v>0.8067730810788586</x:v>
      </x:c>
      <x:c r="F523" s="14" t="n">
        <x:v>4.637966001125248</x:v>
      </x:c>
      <x:c r="G523" s="14" t="n">
        <x:v>0</x:v>
      </x:c>
      <x:c r="H523" s="14" t="n">
        <x:v>75.88341933791526</x:v>
      </x:c>
      <x:c r="I523" s="2" t="str">
        <x:v>S037</x:v>
      </x:c>
    </x:row>
    <x:row r="524" ht="27" customHeight="1">
      <x:c r="A524" s="2" t="str">
        <x:v>short_coordinated_seed43_v1</x:v>
      </x:c>
      <x:c r="B524" s="2" t="str">
        <x:v>2004 / legacy</x:v>
      </x:c>
      <x:c r="C524" s="2" t="n">
        <x:v>3</x:v>
      </x:c>
      <x:c r="D524" s="14" t="n">
        <x:v>4.6221272231977615</x:v>
      </x:c>
      <x:c r="E524" s="14" t="n">
        <x:v>0.6933624471926019</x:v>
      </x:c>
      <x:c r="F524" s="14" t="n">
        <x:v>3.9287647664394525</x:v>
      </x:c>
      <x:c r="G524" s="14" t="n">
        <x:v>0</x:v>
      </x:c>
      <x:c r="H524" s="14" t="n">
        <x:v>76.04671131889336</x:v>
      </x:c>
      <x:c r="I524" s="2" t="str">
        <x:v>S037</x:v>
      </x:c>
    </x:row>
    <x:row r="525" ht="27" customHeight="1">
      <x:c r="A525" s="2" t="str">
        <x:v>short_coordinated_seed43_v1</x:v>
      </x:c>
      <x:c r="B525" s="2" t="str">
        <x:v>2004 / legacy</x:v>
      </x:c>
      <x:c r="C525" s="2" t="n">
        <x:v>4</x:v>
      </x:c>
      <x:c r="D525" s="14" t="n">
        <x:v>4.318292937315333</x:v>
      </x:c>
      <x:c r="E525" s="14" t="n">
        <x:v>0.6460308097969846</x:v>
      </x:c>
      <x:c r="F525" s="14" t="n">
        <x:v>3.6722621314056085</x:v>
      </x:c>
      <x:c r="G525" s="14" t="n">
        <x:v>0</x:v>
      </x:c>
      <x:c r="H525" s="14" t="n">
        <x:v>76.12670450587757</x:v>
      </x:c>
      <x:c r="I525" s="2" t="str">
        <x:v>S037</x:v>
      </x:c>
    </x:row>
    <x:row r="526" ht="27" customHeight="1">
      <x:c r="A526" s="2" t="str">
        <x:v>short_coordinated_seed43_v1</x:v>
      </x:c>
      <x:c r="B526" s="2" t="str">
        <x:v>2004 / legacy</x:v>
      </x:c>
      <x:c r="C526" s="2" t="n">
        <x:v>5</x:v>
      </x:c>
      <x:c r="D526" s="14" t="n">
        <x:v>4.044657751117521</x:v>
      </x:c>
      <x:c r="E526" s="14" t="n">
        <x:v>0.5934729166805287</x:v>
      </x:c>
      <x:c r="F526" s="14" t="n">
        <x:v>3.4511848401535503</x:v>
      </x:c>
      <x:c r="G526" s="14" t="n">
        <x:v>0</x:v>
      </x:c>
      <x:c r="H526" s="14" t="n">
        <x:v>75.93312780605629</x:v>
      </x:c>
      <x:c r="I526" s="2" t="str">
        <x:v>S037</x:v>
      </x:c>
    </x:row>
    <x:row r="527" ht="27" customHeight="1">
      <x:c r="A527" s="2" t="str">
        <x:v>short_coordinated_seed43_v1</x:v>
      </x:c>
      <x:c r="B527" s="2" t="str">
        <x:v>2004 / short_coordinated</x:v>
      </x:c>
      <x:c r="C527" s="2" t="n">
        <x:v>1</x:v>
      </x:c>
      <x:c r="D527" s="14" t="n">
        <x:v>8.533194982182339</x:v>
      </x:c>
      <x:c r="E527" s="14" t="n">
        <x:v>1.1693114606315826</x:v>
      </x:c>
      <x:c r="F527" s="14" t="n">
        <x:v>7.3638834989894075</x:v>
      </x:c>
      <x:c r="G527" s="14" t="n">
        <x:v>0</x:v>
      </x:c>
      <x:c r="H527" s="14" t="n">
        <x:v>82.97306017810479</x:v>
      </x:c>
      <x:c r="I527" s="2" t="str">
        <x:v>S038</x:v>
      </x:c>
    </x:row>
    <x:row r="528" ht="27" customHeight="1">
      <x:c r="A528" s="2" t="str">
        <x:v>short_coordinated_seed43_v1</x:v>
      </x:c>
      <x:c r="B528" s="2" t="str">
        <x:v>2004 / short_coordinated</x:v>
      </x:c>
      <x:c r="C528" s="2" t="n">
        <x:v>2</x:v>
      </x:c>
      <x:c r="D528" s="14" t="n">
        <x:v>5.993870137597594</x:v>
      </x:c>
      <x:c r="E528" s="14" t="n">
        <x:v>0.9990056538215989</x:v>
      </x:c>
      <x:c r="F528" s="14" t="n">
        <x:v>4.99486448331867</x:v>
      </x:c>
      <x:c r="G528" s="14" t="n">
        <x:v>0</x:v>
      </x:c>
      <x:c r="H528" s="14" t="n">
        <x:v>82.78578459681012</x:v>
      </x:c>
      <x:c r="I528" s="2" t="str">
        <x:v>S038</x:v>
      </x:c>
    </x:row>
    <x:row r="529" ht="27" customHeight="1">
      <x:c r="A529" s="2" t="str">
        <x:v>short_coordinated_seed43_v1</x:v>
      </x:c>
      <x:c r="B529" s="2" t="str">
        <x:v>2004 / short_coordinated</x:v>
      </x:c>
      <x:c r="C529" s="2" t="n">
        <x:v>3</x:v>
      </x:c>
      <x:c r="D529" s="14" t="n">
        <x:v>5.322687328319111</x:v>
      </x:c>
      <x:c r="E529" s="14" t="n">
        <x:v>0.8183868948151084</x:v>
      </x:c>
      <x:c r="F529" s="14" t="n">
        <x:v>4.504300440058989</x:v>
      </x:c>
      <x:c r="G529" s="14" t="n">
        <x:v>0</x:v>
      </x:c>
      <x:c r="H529" s="14" t="n">
        <x:v>82.67463529505767</x:v>
      </x:c>
      <x:c r="I529" s="2" t="str">
        <x:v>S038</x:v>
      </x:c>
    </x:row>
    <x:row r="530" ht="27" customHeight="1">
      <x:c r="A530" s="2" t="str">
        <x:v>short_coordinated_seed43_v1</x:v>
      </x:c>
      <x:c r="B530" s="2" t="str">
        <x:v>2004 / short_coordinated</x:v>
      </x:c>
      <x:c r="C530" s="2" t="n">
        <x:v>4</x:v>
      </x:c>
      <x:c r="D530" s="14" t="n">
        <x:v>4.997786741427449</x:v>
      </x:c>
      <x:c r="E530" s="14" t="n">
        <x:v>0.7548132969823944</x:v>
      </x:c>
      <x:c r="F530" s="14" t="n">
        <x:v>4.242973441662996</x:v>
      </x:c>
      <x:c r="G530" s="14" t="n">
        <x:v>0</x:v>
      </x:c>
      <x:c r="H530" s="14" t="n">
        <x:v>82.57027120096609</x:v>
      </x:c>
      <x:c r="I530" s="2" t="str">
        <x:v>S038</x:v>
      </x:c>
    </x:row>
    <x:row r="531" ht="27" customHeight="1">
      <x:c r="A531" s="2" t="str">
        <x:v>short_coordinated_seed43_v1</x:v>
      </x:c>
      <x:c r="B531" s="2" t="str">
        <x:v>2004 / short_coordinated</x:v>
      </x:c>
      <x:c r="C531" s="2" t="n">
        <x:v>5</x:v>
      </x:c>
      <x:c r="D531" s="14" t="n">
        <x:v>4.838945884533855</x:v>
      </x:c>
      <x:c r="E531" s="14" t="n">
        <x:v>0.744507866747239</x:v>
      </x:c>
      <x:c r="F531" s="14" t="n">
        <x:v>4.094438022359863</x:v>
      </x:c>
      <x:c r="G531" s="14" t="n">
        <x:v>0.11004107794790863</x:v>
      </x:c>
      <x:c r="H531" s="14" t="n">
        <x:v>83.02260428504087</x:v>
      </x:c>
      <x:c r="I531" s="2" t="str">
        <x:v>S038</x:v>
      </x:c>
    </x:row>
    <x:row r="532" ht="27" customHeight="1">
      <x:c r="A532" s="2" t="str">
        <x:v>short_coordinated_seed43_v1</x:v>
      </x:c>
      <x:c r="B532" s="2" t="str">
        <x:v>2005 / legacy</x:v>
      </x:c>
      <x:c r="C532" s="2" t="n">
        <x:v>1</x:v>
      </x:c>
      <x:c r="D532" s="14" t="n">
        <x:v>7.854266860600933</x:v>
      </x:c>
      <x:c r="E532" s="14" t="n">
        <x:v>1.0636016586247612</x:v>
      </x:c>
      <x:c r="F532" s="14" t="n">
        <x:v>6.790665189323523</x:v>
      </x:c>
      <x:c r="G532" s="14" t="n">
        <x:v>0.8328063065294764</x:v>
      </x:c>
      <x:c r="H532" s="14" t="n">
        <x:v>75.25647500902414</x:v>
      </x:c>
      <x:c r="I532" s="2" t="str">
        <x:v>S039</x:v>
      </x:c>
    </x:row>
    <x:row r="533" ht="27" customHeight="1">
      <x:c r="A533" s="2" t="str">
        <x:v>short_coordinated_seed43_v1</x:v>
      </x:c>
      <x:c r="B533" s="2" t="str">
        <x:v>2005 / legacy</x:v>
      </x:c>
      <x:c r="C533" s="2" t="n">
        <x:v>2</x:v>
      </x:c>
      <x:c r="D533" s="14" t="n">
        <x:v>5.293784015318927</x:v>
      </x:c>
      <x:c r="E533" s="14" t="n">
        <x:v>0.7803572401442491</x:v>
      </x:c>
      <x:c r="F533" s="14" t="n">
        <x:v>4.513426782529982</x:v>
      </x:c>
      <x:c r="G533" s="14" t="n">
        <x:v>0.8328804736937059</x:v>
      </x:c>
      <x:c r="H533" s="14" t="n">
        <x:v>75.84220128203742</x:v>
      </x:c>
      <x:c r="I533" s="2" t="str">
        <x:v>S039</x:v>
      </x:c>
    </x:row>
    <x:row r="534" ht="27" customHeight="1">
      <x:c r="A534" s="2" t="str">
        <x:v>short_coordinated_seed43_v1</x:v>
      </x:c>
      <x:c r="B534" s="2" t="str">
        <x:v>2005 / legacy</x:v>
      </x:c>
      <x:c r="C534" s="2" t="n">
        <x:v>3</x:v>
      </x:c>
      <x:c r="D534" s="14" t="n">
        <x:v>4.496787210254718</x:v>
      </x:c>
      <x:c r="E534" s="14" t="n">
        <x:v>0.6749851751662886</x:v>
      </x:c>
      <x:c r="F534" s="14" t="n">
        <x:v>3.8218020209875863</x:v>
      </x:c>
      <x:c r="G534" s="14" t="n">
        <x:v>0.8328804736937059</x:v>
      </x:c>
      <x:c r="H534" s="14" t="n">
        <x:v>75.94198754010722</x:v>
      </x:c>
      <x:c r="I534" s="2" t="str">
        <x:v>S039</x:v>
      </x:c>
    </x:row>
    <x:row r="535" ht="27" customHeight="1">
      <x:c r="A535" s="2" t="str">
        <x:v>short_coordinated_seed43_v1</x:v>
      </x:c>
      <x:c r="B535" s="2" t="str">
        <x:v>2005 / legacy</x:v>
      </x:c>
      <x:c r="C535" s="2" t="n">
        <x:v>4</x:v>
      </x:c>
      <x:c r="D535" s="14" t="n">
        <x:v>4.10471591803119</x:v>
      </x:c>
      <x:c r="E535" s="14" t="n">
        <x:v>0.6416031369544051</x:v>
      </x:c>
      <x:c r="F535" s="14" t="n">
        <x:v>3.463112780505129</x:v>
      </x:c>
      <x:c r="G535" s="14" t="n">
        <x:v>0.8328804736937059</x:v>
      </x:c>
      <x:c r="H535" s="14" t="n">
        <x:v>75.90242723515257</x:v>
      </x:c>
      <x:c r="I535" s="2" t="str">
        <x:v>S039</x:v>
      </x:c>
    </x:row>
    <x:row r="536" ht="27" customHeight="1">
      <x:c r="A536" s="2" t="str">
        <x:v>short_coordinated_seed43_v1</x:v>
      </x:c>
      <x:c r="B536" s="2" t="str">
        <x:v>2005 / legacy</x:v>
      </x:c>
      <x:c r="C536" s="2" t="n">
        <x:v>5</x:v>
      </x:c>
      <x:c r="D536" s="14" t="n">
        <x:v>3.8488935872416974</x:v>
      </x:c>
      <x:c r="E536" s="14" t="n">
        <x:v>0.6002371057753673</x:v>
      </x:c>
      <x:c r="F536" s="14" t="n">
        <x:v>3.2486564884405307</x:v>
      </x:c>
      <x:c r="G536" s="14" t="n">
        <x:v>0.8328804736937059</x:v>
      </x:c>
      <x:c r="H536" s="14" t="n">
        <x:v>76.02245728997514</x:v>
      </x:c>
      <x:c r="I536" s="2" t="str">
        <x:v>S039</x:v>
      </x:c>
    </x:row>
    <x:row r="537" ht="27" customHeight="1">
      <x:c r="A537" s="2" t="str">
        <x:v>short_coordinated_seed43_v1</x:v>
      </x:c>
      <x:c r="B537" s="2" t="str">
        <x:v>2005 / short_coordinated</x:v>
      </x:c>
      <x:c r="C537" s="2" t="n">
        <x:v>1</x:v>
      </x:c>
      <x:c r="D537" s="14" t="n">
        <x:v>8.433812612157954</x:v>
      </x:c>
      <x:c r="E537" s="14" t="n">
        <x:v>1.1379811859039395</x:v>
      </x:c>
      <x:c r="F537" s="14" t="n">
        <x:v>7.295831418098391</x:v>
      </x:c>
      <x:c r="G537" s="14" t="n">
        <x:v>0.8328804736937059</x:v>
      </x:c>
      <x:c r="H537" s="14" t="n">
        <x:v>82.649699926842</x:v>
      </x:c>
      <x:c r="I537" s="2" t="str">
        <x:v>S040</x:v>
      </x:c>
    </x:row>
    <x:row r="538" ht="27" customHeight="1">
      <x:c r="A538" s="2" t="str">
        <x:v>short_coordinated_seed43_v1</x:v>
      </x:c>
      <x:c r="B538" s="2" t="str">
        <x:v>2005 / short_coordinated</x:v>
      </x:c>
      <x:c r="C538" s="2" t="n">
        <x:v>2</x:v>
      </x:c>
      <x:c r="D538" s="14" t="n">
        <x:v>6.637571912897212</x:v>
      </x:c>
      <x:c r="E538" s="14" t="n">
        <x:v>1.1102673200999988</x:v>
      </x:c>
      <x:c r="F538" s="14" t="n">
        <x:v>5.527304600571733</x:v>
      </x:c>
      <x:c r="G538" s="14" t="n">
        <x:v>0.8328804736937059</x:v>
      </x:c>
      <x:c r="H538" s="14" t="n">
        <x:v>82.70754771702923</x:v>
      </x:c>
      <x:c r="I538" s="2" t="str">
        <x:v>S040</x:v>
      </x:c>
    </x:row>
    <x:row r="539" ht="27" customHeight="1">
      <x:c r="A539" s="2" t="str">
        <x:v>short_coordinated_seed43_v1</x:v>
      </x:c>
      <x:c r="B539" s="2" t="str">
        <x:v>2005 / short_coordinated</x:v>
      </x:c>
      <x:c r="C539" s="2" t="n">
        <x:v>3</x:v>
      </x:c>
      <x:c r="D539" s="14" t="n">
        <x:v>5.9227847174915205</x:v>
      </x:c>
      <x:c r="E539" s="14" t="n">
        <x:v>1.0226210067644144</x:v>
      </x:c>
      <x:c r="F539" s="14" t="n">
        <x:v>4.900163710879548</x:v>
      </x:c>
      <x:c r="G539" s="14" t="n">
        <x:v>0.8328804736937059</x:v>
      </x:c>
      <x:c r="H539" s="14" t="n">
        <x:v>82.7870526521001</x:v>
      </x:c>
      <x:c r="I539" s="2" t="str">
        <x:v>S040</x:v>
      </x:c>
    </x:row>
    <x:row r="540" ht="27" customHeight="1">
      <x:c r="A540" s="2" t="str">
        <x:v>short_coordinated_seed43_v1</x:v>
      </x:c>
      <x:c r="B540" s="2" t="str">
        <x:v>2005 / short_coordinated</x:v>
      </x:c>
      <x:c r="C540" s="2" t="n">
        <x:v>4</x:v>
      </x:c>
      <x:c r="D540" s="14" t="n">
        <x:v>5.222077819697388</x:v>
      </x:c>
      <x:c r="E540" s="14" t="n">
        <x:v>0.8213618621039573</x:v>
      </x:c>
      <x:c r="F540" s="14" t="n">
        <x:v>4.400715965139287</x:v>
      </x:c>
      <x:c r="G540" s="14" t="n">
        <x:v>0.8328804736937059</x:v>
      </x:c>
      <x:c r="H540" s="14" t="n">
        <x:v>82.45605381997302</x:v>
      </x:c>
      <x:c r="I540" s="2" t="str">
        <x:v>S040</x:v>
      </x:c>
    </x:row>
    <x:row r="541" ht="27" customHeight="1">
      <x:c r="A541" s="2" t="str">
        <x:v>short_coordinated_seed43_v1</x:v>
      </x:c>
      <x:c r="B541" s="2" t="str">
        <x:v>2005 / short_coordinated</x:v>
      </x:c>
      <x:c r="C541" s="2" t="n">
        <x:v>5</x:v>
      </x:c>
      <x:c r="D541" s="14" t="n">
        <x:v>4.987874756078891</x:v>
      </x:c>
      <x:c r="E541" s="14" t="n">
        <x:v>0.7721928002508095</x:v>
      </x:c>
      <x:c r="F541" s="14" t="n">
        <x:v>4.215681962040074</x:v>
      </x:c>
      <x:c r="G541" s="14" t="n">
        <x:v>0.8328804736937059</x:v>
      </x:c>
      <x:c r="H541" s="14" t="n">
        <x:v>82.1949430978857</x:v>
      </x:c>
      <x:c r="I541" s="2" t="str">
        <x:v>S040</x:v>
      </x:c>
    </x:row>
    <x:row r="542" ht="27" customHeight="1">
      <x:c r="A542" s="2" t="str">
        <x:v>short_coordinated_seed44_v1</x:v>
      </x:c>
      <x:c r="B542" s="2" t="str">
        <x:v>2003 / legacy</x:v>
      </x:c>
      <x:c r="C542" s="2" t="n">
        <x:v>1</x:v>
      </x:c>
      <x:c r="D542" s="14" t="n">
        <x:v>8.071828234835964</x:v>
      </x:c>
      <x:c r="E542" s="14" t="n">
        <x:v>0.9997820737569229</x:v>
      </x:c>
      <x:c r="F542" s="14" t="n">
        <x:v>7.072046154295392</x:v>
      </x:c>
      <x:c r="G542" s="14" t="n">
        <x:v>0.7142857142857143</x:v>
      </x:c>
      <x:c r="H542" s="14" t="n">
        <x:v>75.58822062285617</x:v>
      </x:c>
      <x:c r="I542" s="2" t="str">
        <x:v>S043</x:v>
      </x:c>
    </x:row>
    <x:row r="543" ht="27" customHeight="1">
      <x:c r="A543" s="2" t="str">
        <x:v>short_coordinated_seed44_v1</x:v>
      </x:c>
      <x:c r="B543" s="2" t="str">
        <x:v>2003 / legacy</x:v>
      </x:c>
      <x:c r="C543" s="2" t="n">
        <x:v>2</x:v>
      </x:c>
      <x:c r="D543" s="14" t="n">
        <x:v>5.899257323321174</x:v>
      </x:c>
      <x:c r="E543" s="14" t="n">
        <x:v>0.8403367147116405</x:v>
      </x:c>
      <x:c r="F543" s="14" t="n">
        <x:v>5.058920602969197</x:v>
      </x:c>
      <x:c r="G543" s="14" t="n">
        <x:v>0.4544522753490304</x:v>
      </x:c>
      <x:c r="H543" s="14" t="n">
        <x:v>75.89659048290923</x:v>
      </x:c>
      <x:c r="I543" s="2" t="str">
        <x:v>S043</x:v>
      </x:c>
    </x:row>
    <x:row r="544" ht="27" customHeight="1">
      <x:c r="A544" s="2" t="str">
        <x:v>short_coordinated_seed44_v1</x:v>
      </x:c>
      <x:c r="B544" s="2" t="str">
        <x:v>2003 / legacy</x:v>
      </x:c>
      <x:c r="C544" s="2" t="n">
        <x:v>3</x:v>
      </x:c>
      <x:c r="D544" s="14" t="n">
        <x:v>4.77384039081271</x:v>
      </x:c>
      <x:c r="E544" s="14" t="n">
        <x:v>0.7343087027902189</x:v>
      </x:c>
      <x:c r="F544" s="14" t="n">
        <x:v>4.039531689470686</x:v>
      </x:c>
      <x:c r="G544" s="14" t="n">
        <x:v>0.4544056803783998</x:v>
      </x:c>
      <x:c r="H544" s="14" t="n">
        <x:v>76.02647323696874</x:v>
      </x:c>
      <x:c r="I544" s="2" t="str">
        <x:v>S043</x:v>
      </x:c>
    </x:row>
    <x:row r="545" ht="27" customHeight="1">
      <x:c r="A545" s="2" t="str">
        <x:v>short_coordinated_seed44_v1</x:v>
      </x:c>
      <x:c r="B545" s="2" t="str">
        <x:v>2003 / legacy</x:v>
      </x:c>
      <x:c r="C545" s="2" t="n">
        <x:v>4</x:v>
      </x:c>
      <x:c r="D545" s="14" t="n">
        <x:v>4.209764791571575</x:v>
      </x:c>
      <x:c r="E545" s="14" t="n">
        <x:v>0.6383510090582206</x:v>
      </x:c>
      <x:c r="F545" s="14" t="n">
        <x:v>3.5714137898686595</x:v>
      </x:c>
      <x:c r="G545" s="14" t="n">
        <x:v>0.45426587397187806</x:v>
      </x:c>
      <x:c r="H545" s="14" t="n">
        <x:v>75.828228458995</x:v>
      </x:c>
      <x:c r="I545" s="2" t="str">
        <x:v>S043</x:v>
      </x:c>
    </x:row>
    <x:row r="546" ht="27" customHeight="1">
      <x:c r="A546" s="2" t="str">
        <x:v>short_coordinated_seed44_v1</x:v>
      </x:c>
      <x:c r="B546" s="2" t="str">
        <x:v>2003 / legacy</x:v>
      </x:c>
      <x:c r="C546" s="2" t="n">
        <x:v>5</x:v>
      </x:c>
      <x:c r="D546" s="14" t="n">
        <x:v>3.9387941762919314</x:v>
      </x:c>
      <x:c r="E546" s="14" t="n">
        <x:v>0.597815945896956</x:v>
      </x:c>
      <x:c r="F546" s="14" t="n">
        <x:v>3.3409782279178004</x:v>
      </x:c>
      <x:c r="G546" s="14" t="n">
        <x:v>0.4544522753490304</x:v>
      </x:c>
      <x:c r="H546" s="14" t="n">
        <x:v>75.87709449999966</x:v>
      </x:c>
      <x:c r="I546" s="2" t="str">
        <x:v>S043</x:v>
      </x:c>
    </x:row>
    <x:row r="547" ht="27" customHeight="1">
      <x:c r="A547" s="2" t="str">
        <x:v>short_coordinated_seed44_v1</x:v>
      </x:c>
      <x:c r="B547" s="2" t="str">
        <x:v>2003 / short_coordinated</x:v>
      </x:c>
      <x:c r="C547" s="2" t="n">
        <x:v>1</x:v>
      </x:c>
      <x:c r="D547" s="14" t="n">
        <x:v>8.503389834138133</x:v>
      </x:c>
      <x:c r="E547" s="14" t="n">
        <x:v>1.13461975818095</x:v>
      </x:c>
      <x:c r="F547" s="14" t="n">
        <x:v>7.368770073137015</x:v>
      </x:c>
      <x:c r="G547" s="14" t="n">
        <x:v>0.7142857142857143</x:v>
      </x:c>
      <x:c r="H547" s="14" t="n">
        <x:v>82.47029559803195</x:v>
      </x:c>
      <x:c r="I547" s="2" t="str">
        <x:v>S044</x:v>
      </x:c>
    </x:row>
    <x:row r="548" ht="27" customHeight="1">
      <x:c r="A548" s="2" t="str">
        <x:v>short_coordinated_seed44_v1</x:v>
      </x:c>
      <x:c r="B548" s="2" t="str">
        <x:v>2003 / short_coordinated</x:v>
      </x:c>
      <x:c r="C548" s="2" t="n">
        <x:v>2</x:v>
      </x:c>
      <x:c r="D548" s="14" t="n">
        <x:v>5.745430376218713</x:v>
      </x:c>
      <x:c r="E548" s="14" t="n">
        <x:v>0.8962813342166374</x:v>
      </x:c>
      <x:c r="F548" s="14" t="n">
        <x:v>4.849149042992946</x:v>
      </x:c>
      <x:c r="G548" s="14" t="n">
        <x:v>0.7142857142857143</x:v>
      </x:c>
      <x:c r="H548" s="14" t="n">
        <x:v>82.71736618992873</x:v>
      </x:c>
      <x:c r="I548" s="2" t="str">
        <x:v>S044</x:v>
      </x:c>
    </x:row>
    <x:row r="549" ht="27" customHeight="1">
      <x:c r="A549" s="2" t="str">
        <x:v>short_coordinated_seed44_v1</x:v>
      </x:c>
      <x:c r="B549" s="2" t="str">
        <x:v>2003 / short_coordinated</x:v>
      </x:c>
      <x:c r="C549" s="2" t="n">
        <x:v>3</x:v>
      </x:c>
      <x:c r="D549" s="14" t="n">
        <x:v>5.346445268987085</x:v>
      </x:c>
      <x:c r="E549" s="14" t="n">
        <x:v>0.8379704892406683</x:v>
      </x:c>
      <x:c r="F549" s="14" t="n">
        <x:v>4.508474778641215</x:v>
      </x:c>
      <x:c r="G549" s="14" t="n">
        <x:v>0.7142857142857143</x:v>
      </x:c>
      <x:c r="H549" s="14" t="n">
        <x:v>82.5814668959938</x:v>
      </x:c>
      <x:c r="I549" s="2" t="str">
        <x:v>S044</x:v>
      </x:c>
    </x:row>
    <x:row r="550" ht="27" customHeight="1">
      <x:c r="A550" s="2" t="str">
        <x:v>short_coordinated_seed44_v1</x:v>
      </x:c>
      <x:c r="B550" s="2" t="str">
        <x:v>2003 / short_coordinated</x:v>
      </x:c>
      <x:c r="C550" s="2" t="n">
        <x:v>4</x:v>
      </x:c>
      <x:c r="D550" s="14" t="n">
        <x:v>5.069033225783912</x:v>
      </x:c>
      <x:c r="E550" s="14" t="n">
        <x:v>0.7582151189332118</x:v>
      </x:c>
      <x:c r="F550" s="14" t="n">
        <x:v>4.310818117292945</x:v>
      </x:c>
      <x:c r="G550" s="14" t="n">
        <x:v>0.7142857142857143</x:v>
      </x:c>
      <x:c r="H550" s="14" t="n">
        <x:v>82.49419943802059</x:v>
      </x:c>
      <x:c r="I550" s="2" t="str">
        <x:v>S044</x:v>
      </x:c>
    </x:row>
    <x:row r="551" ht="27" customHeight="1">
      <x:c r="A551" s="2" t="str">
        <x:v>short_coordinated_seed44_v1</x:v>
      </x:c>
      <x:c r="B551" s="2" t="str">
        <x:v>2003 / short_coordinated</x:v>
      </x:c>
      <x:c r="C551" s="2" t="n">
        <x:v>5</x:v>
      </x:c>
      <x:c r="D551" s="14" t="n">
        <x:v>4.898065536528292</x:v>
      </x:c>
      <x:c r="E551" s="14" t="n">
        <x:v>0.7388618566343547</x:v>
      </x:c>
      <x:c r="F551" s="14" t="n">
        <x:v>4.15920368606782</x:v>
      </x:c>
      <x:c r="G551" s="14" t="n">
        <x:v>0.7142857142857143</x:v>
      </x:c>
      <x:c r="H551" s="14" t="n">
        <x:v>82.54408926703036</x:v>
      </x:c>
      <x:c r="I551" s="2" t="str">
        <x:v>S044</x:v>
      </x:c>
    </x:row>
    <x:row r="552" ht="27" customHeight="1">
      <x:c r="A552" s="2" t="str">
        <x:v>short_coordinated_seed44_v1</x:v>
      </x:c>
      <x:c r="B552" s="2" t="str">
        <x:v>2004 / legacy</x:v>
      </x:c>
      <x:c r="C552" s="2" t="n">
        <x:v>1</x:v>
      </x:c>
      <x:c r="D552" s="14" t="n">
        <x:v>7.998238625733749</x:v>
      </x:c>
      <x:c r="E552" s="14" t="n">
        <x:v>0.9889920789110082</x:v>
      </x:c>
      <x:c r="F552" s="14" t="n">
        <x:v>7.009246544459897</x:v>
      </x:c>
      <x:c r="G552" s="14" t="n">
        <x:v>0</x:v>
      </x:c>
      <x:c r="H552" s="14" t="n">
        <x:v>75.56792210321873</x:v>
      </x:c>
      <x:c r="I552" s="2" t="str">
        <x:v>S045</x:v>
      </x:c>
    </x:row>
    <x:row r="553" ht="27" customHeight="1">
      <x:c r="A553" s="2" t="str">
        <x:v>short_coordinated_seed44_v1</x:v>
      </x:c>
      <x:c r="B553" s="2" t="str">
        <x:v>2004 / legacy</x:v>
      </x:c>
      <x:c r="C553" s="2" t="n">
        <x:v>2</x:v>
      </x:c>
      <x:c r="D553" s="14" t="n">
        <x:v>5.9494351541904535</x:v>
      </x:c>
      <x:c r="E553" s="14" t="n">
        <x:v>0.8439451706836291</x:v>
      </x:c>
      <x:c r="F553" s="14" t="n">
        <x:v>5.105489979009799</x:v>
      </x:c>
      <x:c r="G553" s="14" t="n">
        <x:v>0</x:v>
      </x:c>
      <x:c r="H553" s="14" t="n">
        <x:v>75.76146596088074</x:v>
      </x:c>
      <x:c r="I553" s="2" t="str">
        <x:v>S045</x:v>
      </x:c>
    </x:row>
    <x:row r="554" ht="27" customHeight="1">
      <x:c r="A554" s="2" t="str">
        <x:v>short_coordinated_seed44_v1</x:v>
      </x:c>
      <x:c r="B554" s="2" t="str">
        <x:v>2004 / legacy</x:v>
      </x:c>
      <x:c r="C554" s="2" t="n">
        <x:v>3</x:v>
      </x:c>
      <x:c r="D554" s="14" t="n">
        <x:v>4.765965342826551</x:v>
      </x:c>
      <x:c r="E554" s="14" t="n">
        <x:v>0.7895175865315416</x:v>
      </x:c>
      <x:c r="F554" s="14" t="n">
        <x:v>3.9764477621258982</x:v>
      </x:c>
      <x:c r="G554" s="14" t="n">
        <x:v>0.23706909784191668</x:v>
      </x:c>
      <x:c r="H554" s="14" t="n">
        <x:v>75.99282505083829</x:v>
      </x:c>
      <x:c r="I554" s="2" t="str">
        <x:v>S045</x:v>
      </x:c>
    </x:row>
    <x:row r="555" ht="27" customHeight="1">
      <x:c r="A555" s="2" t="str">
        <x:v>short_coordinated_seed44_v1</x:v>
      </x:c>
      <x:c r="B555" s="2" t="str">
        <x:v>2004 / legacy</x:v>
      </x:c>
      <x:c r="C555" s="2" t="n">
        <x:v>4</x:v>
      </x:c>
      <x:c r="D555" s="14" t="n">
        <x:v>4.070134008327104</x:v>
      </x:c>
      <x:c r="E555" s="14" t="n">
        <x:v>0.6785841970263845</x:v>
      </x:c>
      <x:c r="F555" s="14" t="n">
        <x:v>3.3915498137778943</x:v>
      </x:c>
      <x:c r="G555" s="14" t="n">
        <x:v>0.5547011292137558</x:v>
      </x:c>
      <x:c r="H555" s="14" t="n">
        <x:v>76.0850352901034</x:v>
      </x:c>
      <x:c r="I555" s="2" t="str">
        <x:v>S045</x:v>
      </x:c>
    </x:row>
    <x:row r="556" ht="27" customHeight="1">
      <x:c r="A556" s="2" t="str">
        <x:v>short_coordinated_seed44_v1</x:v>
      </x:c>
      <x:c r="B556" s="2" t="str">
        <x:v>2004 / legacy</x:v>
      </x:c>
      <x:c r="C556" s="2" t="n">
        <x:v>5</x:v>
      </x:c>
      <x:c r="D556" s="14" t="n">
        <x:v>3.7361880324380783</x:v>
      </x:c>
      <x:c r="E556" s="14" t="n">
        <x:v>0.602114957311879</x:v>
      </x:c>
      <x:c r="F556" s="14" t="n">
        <x:v>3.1340730793945624</x:v>
      </x:c>
      <x:c r="G556" s="14" t="n">
        <x:v>0.13454019412957818</x:v>
      </x:c>
      <x:c r="H556" s="14" t="n">
        <x:v>75.96283010882325</x:v>
      </x:c>
      <x:c r="I556" s="2" t="str">
        <x:v>S045</x:v>
      </x:c>
    </x:row>
    <x:row r="557" ht="27" customHeight="1">
      <x:c r="A557" s="2" t="str">
        <x:v>short_coordinated_seed44_v1</x:v>
      </x:c>
      <x:c r="B557" s="2" t="str">
        <x:v>2004 / short_coordinated</x:v>
      </x:c>
      <x:c r="C557" s="2" t="n">
        <x:v>1</x:v>
      </x:c>
      <x:c r="D557" s="14" t="n">
        <x:v>8.580941407576852</x:v>
      </x:c>
      <x:c r="E557" s="14" t="n">
        <x:v>1.1611108068005203</x:v>
      </x:c>
      <x:c r="F557" s="14" t="n">
        <x:v>7.419830610075265</x:v>
      </x:c>
      <x:c r="G557" s="14" t="n">
        <x:v>0.07173194052748104</x:v>
      </x:c>
      <x:c r="H557" s="14" t="n">
        <x:v>82.90497863804922</x:v>
      </x:c>
      <x:c r="I557" s="2" t="str">
        <x:v>S046</x:v>
      </x:c>
    </x:row>
    <x:row r="558" ht="27" customHeight="1">
      <x:c r="A558" s="2" t="str">
        <x:v>short_coordinated_seed44_v1</x:v>
      </x:c>
      <x:c r="B558" s="2" t="str">
        <x:v>2004 / short_coordinated</x:v>
      </x:c>
      <x:c r="C558" s="2" t="n">
        <x:v>2</x:v>
      </x:c>
      <x:c r="D558" s="14" t="n">
        <x:v>6.533498344518949</x:v>
      </x:c>
      <x:c r="E558" s="14" t="n">
        <x:v>1.1133766660986044</x:v>
      </x:c>
      <x:c r="F558" s="14" t="n">
        <x:v>5.420121685623208</x:v>
      </x:c>
      <x:c r="G558" s="14" t="n">
        <x:v>0</x:v>
      </x:c>
      <x:c r="H558" s="14" t="n">
        <x:v>82.3963398290798</x:v>
      </x:c>
      <x:c r="I558" s="2" t="str">
        <x:v>S046</x:v>
      </x:c>
    </x:row>
    <x:row r="559" ht="27" customHeight="1">
      <x:c r="A559" s="2" t="str">
        <x:v>short_coordinated_seed44_v1</x:v>
      </x:c>
      <x:c r="B559" s="2" t="str">
        <x:v>2004 / short_coordinated</x:v>
      </x:c>
      <x:c r="C559" s="2" t="n">
        <x:v>3</x:v>
      </x:c>
      <x:c r="D559" s="14" t="n">
        <x:v>5.718909295928448</x:v>
      </x:c>
      <x:c r="E559" s="14" t="n">
        <x:v>0.9128529360837034</x:v>
      </x:c>
      <x:c r="F559" s="14" t="n">
        <x:v>4.80605635252755</x:v>
      </x:c>
      <x:c r="G559" s="14" t="n">
        <x:v>0</x:v>
      </x:c>
      <x:c r="H559" s="14" t="n">
        <x:v>82.71825774712488</x:v>
      </x:c>
      <x:c r="I559" s="2" t="str">
        <x:v>S046</x:v>
      </x:c>
    </x:row>
    <x:row r="560" ht="27" customHeight="1">
      <x:c r="A560" s="2" t="str">
        <x:v>short_coordinated_seed44_v1</x:v>
      </x:c>
      <x:c r="B560" s="2" t="str">
        <x:v>2004 / short_coordinated</x:v>
      </x:c>
      <x:c r="C560" s="2" t="n">
        <x:v>4</x:v>
      </x:c>
      <x:c r="D560" s="14" t="n">
        <x:v>5.24195703704034</x:v>
      </x:c>
      <x:c r="E560" s="14" t="n">
        <x:v>0.8222077816648556</x:v>
      </x:c>
      <x:c r="F560" s="14" t="n">
        <x:v>4.419749253241302</x:v>
      </x:c>
      <x:c r="G560" s="14" t="n">
        <x:v>0.09339105321439989</x:v>
      </x:c>
      <x:c r="H560" s="14" t="n">
        <x:v>82.5715781559702</x:v>
      </x:c>
      <x:c r="I560" s="2" t="str">
        <x:v>S046</x:v>
      </x:c>
    </x:row>
    <x:row r="561" ht="27" customHeight="1">
      <x:c r="A561" s="2" t="str">
        <x:v>short_coordinated_seed44_v1</x:v>
      </x:c>
      <x:c r="B561" s="2" t="str">
        <x:v>2004 / short_coordinated</x:v>
      </x:c>
      <x:c r="C561" s="2" t="n">
        <x:v>5</x:v>
      </x:c>
      <x:c r="D561" s="14" t="n">
        <x:v>4.982967247438553</x:v>
      </x:c>
      <x:c r="E561" s="14" t="n">
        <x:v>0.7595836856328618</x:v>
      </x:c>
      <x:c r="F561" s="14" t="n">
        <x:v>4.223383566912482</x:v>
      </x:c>
      <x:c r="G561" s="14" t="n">
        <x:v>0.10101640717130546</x:v>
      </x:c>
      <x:c r="H561" s="14" t="n">
        <x:v>82.31425578705966</x:v>
      </x:c>
      <x:c r="I561" s="2" t="str">
        <x:v>S046</x:v>
      </x:c>
    </x:row>
    <x:row r="562" ht="27" customHeight="1">
      <x:c r="A562" s="2" t="str">
        <x:v>short_coordinated_seed44_v1</x:v>
      </x:c>
      <x:c r="B562" s="2" t="str">
        <x:v>2005 / legacy</x:v>
      </x:c>
      <x:c r="C562" s="2" t="n">
        <x:v>1</x:v>
      </x:c>
      <x:c r="D562" s="14" t="n">
        <x:v>7.839398132870569</x:v>
      </x:c>
      <x:c r="E562" s="14" t="n">
        <x:v>0.9901656122006419</x:v>
      </x:c>
      <x:c r="F562" s="14" t="n">
        <x:v>6.849232518764408</x:v>
      </x:c>
      <x:c r="G562" s="14" t="n">
        <x:v>0.8328804736937059</x:v>
      </x:c>
      <x:c r="H562" s="14" t="n">
        <x:v>75.38766263704747</x:v>
      </x:c>
      <x:c r="I562" s="2" t="str">
        <x:v>S047</x:v>
      </x:c>
    </x:row>
    <x:row r="563" ht="27" customHeight="1">
      <x:c r="A563" s="2" t="str">
        <x:v>short_coordinated_seed44_v1</x:v>
      </x:c>
      <x:c r="B563" s="2" t="str">
        <x:v>2005 / legacy</x:v>
      </x:c>
      <x:c r="C563" s="2" t="n">
        <x:v>2</x:v>
      </x:c>
      <x:c r="D563" s="14" t="n">
        <x:v>5.721284569986641</x:v>
      </x:c>
      <x:c r="E563" s="14" t="n">
        <x:v>0.7861034915117961</x:v>
      </x:c>
      <x:c r="F563" s="14" t="n">
        <x:v>4.935181089679299</x:v>
      </x:c>
      <x:c r="G563" s="14" t="n">
        <x:v>0.8328804736937059</x:v>
      </x:c>
      <x:c r="H563" s="14" t="n">
        <x:v>76.22855074005201</x:v>
      </x:c>
      <x:c r="I563" s="2" t="str">
        <x:v>S047</x:v>
      </x:c>
    </x:row>
    <x:row r="564" ht="27" customHeight="1">
      <x:c r="A564" s="2" t="str">
        <x:v>short_coordinated_seed44_v1</x:v>
      </x:c>
      <x:c r="B564" s="2" t="str">
        <x:v>2005 / legacy</x:v>
      </x:c>
      <x:c r="C564" s="2" t="n">
        <x:v>3</x:v>
      </x:c>
      <x:c r="D564" s="14" t="n">
        <x:v>4.642073699580434</x:v>
      </x:c>
      <x:c r="E564" s="14" t="n">
        <x:v>0.7337768990975206</x:v>
      </x:c>
      <x:c r="F564" s="14" t="n">
        <x:v>3.9082968058183676</x:v>
      </x:c>
      <x:c r="G564" s="14" t="n">
        <x:v>0.8328804736937059</x:v>
      </x:c>
      <x:c r="H564" s="14" t="n">
        <x:v>75.8077348570805</x:v>
      </x:c>
      <x:c r="I564" s="2" t="str">
        <x:v>S047</x:v>
      </x:c>
    </x:row>
    <x:row r="565" ht="27" customHeight="1">
      <x:c r="A565" s="2" t="str">
        <x:v>short_coordinated_seed44_v1</x:v>
      </x:c>
      <x:c r="B565" s="2" t="str">
        <x:v>2005 / legacy</x:v>
      </x:c>
      <x:c r="C565" s="2" t="n">
        <x:v>4</x:v>
      </x:c>
      <x:c r="D565" s="14" t="n">
        <x:v>4.072963707892181</x:v>
      </x:c>
      <x:c r="E565" s="14" t="n">
        <x:v>0.6727498014031164</x:v>
      </x:c>
      <x:c r="F565" s="14" t="n">
        <x:v>3.400213901649046</x:v>
      </x:c>
      <x:c r="G565" s="14" t="n">
        <x:v>0.8328804736937059</x:v>
      </x:c>
      <x:c r="H565" s="14" t="n">
        <x:v>75.81129376008175</x:v>
      </x:c>
      <x:c r="I565" s="2" t="str">
        <x:v>S047</x:v>
      </x:c>
    </x:row>
    <x:row r="566" ht="27" customHeight="1">
      <x:c r="A566" s="2" t="str">
        <x:v>short_coordinated_seed44_v1</x:v>
      </x:c>
      <x:c r="B566" s="2" t="str">
        <x:v>2005 / legacy</x:v>
      </x:c>
      <x:c r="C566" s="2" t="n">
        <x:v>5</x:v>
      </x:c>
      <x:c r="D566" s="14" t="n">
        <x:v>3.7932574145324396</x:v>
      </x:c>
      <x:c r="E566" s="14" t="n">
        <x:v>0.6197289005874673</x:v>
      </x:c>
      <x:c r="F566" s="14" t="n">
        <x:v>3.173528506322895</x:v>
      </x:c>
      <x:c r="G566" s="14" t="n">
        <x:v>0.8328804736937059</x:v>
      </x:c>
      <x:c r="H566" s="14" t="n">
        <x:v>75.94389089290053</x:v>
      </x:c>
      <x:c r="I566" s="2" t="str">
        <x:v>S047</x:v>
      </x:c>
    </x:row>
    <x:row r="567" ht="27" customHeight="1">
      <x:c r="A567" s="2" t="str">
        <x:v>short_coordinated_seed44_v1</x:v>
      </x:c>
      <x:c r="B567" s="2" t="str">
        <x:v>2005 / short_coordinated</x:v>
      </x:c>
      <x:c r="C567" s="2" t="n">
        <x:v>1</x:v>
      </x:c>
      <x:c r="D567" s="14" t="n">
        <x:v>8.430600962675442</x:v>
      </x:c>
      <x:c r="E567" s="14" t="n">
        <x:v>1.154170250877395</x:v>
      </x:c>
      <x:c r="F567" s="14" t="n">
        <x:v>7.276430738551538</x:v>
      </x:c>
      <x:c r="G567" s="14" t="n">
        <x:v>0.8328804736937059</x:v>
      </x:c>
      <x:c r="H567" s="14" t="n">
        <x:v>82.34610922890715</x:v>
      </x:c>
      <x:c r="I567" s="2" t="str">
        <x:v>S048</x:v>
      </x:c>
    </x:row>
    <x:row r="568" ht="27" customHeight="1">
      <x:c r="A568" s="2" t="str">
        <x:v>short_coordinated_seed44_v1</x:v>
      </x:c>
      <x:c r="B568" s="2" t="str">
        <x:v>2005 / short_coordinated</x:v>
      </x:c>
      <x:c r="C568" s="2" t="n">
        <x:v>2</x:v>
      </x:c>
      <x:c r="D568" s="14" t="n">
        <x:v>5.7711809382719155</x:v>
      </x:c>
      <x:c r="E568" s="14" t="n">
        <x:v>0.9154075027045692</x:v>
      </x:c>
      <x:c r="F568" s="14" t="n">
        <x:v>4.855773423333912</x:v>
      </x:c>
      <x:c r="G568" s="14" t="n">
        <x:v>0.8328804736937059</x:v>
      </x:c>
      <x:c r="H568" s="14" t="n">
        <x:v>82.6013357208576</x:v>
      </x:c>
      <x:c r="I568" s="2" t="str">
        <x:v>S048</x:v>
      </x:c>
    </x:row>
    <x:row r="569" ht="27" customHeight="1">
      <x:c r="A569" s="2" t="str">
        <x:v>short_coordinated_seed44_v1</x:v>
      </x:c>
      <x:c r="B569" s="2" t="str">
        <x:v>2005 / short_coordinated</x:v>
      </x:c>
      <x:c r="C569" s="2" t="n">
        <x:v>3</x:v>
      </x:c>
      <x:c r="D569" s="14" t="n">
        <x:v>5.358925500489257</x:v>
      </x:c>
      <x:c r="E569" s="14" t="n">
        <x:v>0.8128800051062918</x:v>
      </x:c>
      <x:c r="F569" s="14" t="n">
        <x:v>4.546045486274583</x:v>
      </x:c>
      <x:c r="G569" s="14" t="n">
        <x:v>0.8328804736937059</x:v>
      </x:c>
      <x:c r="H569" s="14" t="n">
        <x:v>82.38597143185325</x:v>
      </x:c>
      <x:c r="I569" s="2" t="str">
        <x:v>S048</x:v>
      </x:c>
    </x:row>
    <x:row r="570" ht="27" customHeight="1">
      <x:c r="A570" s="2" t="str">
        <x:v>short_coordinated_seed44_v1</x:v>
      </x:c>
      <x:c r="B570" s="2" t="str">
        <x:v>2005 / short_coordinated</x:v>
      </x:c>
      <x:c r="C570" s="2" t="n">
        <x:v>4</x:v>
      </x:c>
      <x:c r="D570" s="14" t="n">
        <x:v>5.085642668292346</x:v>
      </x:c>
      <x:c r="E570" s="14" t="n">
        <x:v>0.7664001144259177</x:v>
      </x:c>
      <x:c r="F570" s="14" t="n">
        <x:v>4.319242558515895</x:v>
      </x:c>
      <x:c r="G570" s="14" t="n">
        <x:v>0.8328804736937059</x:v>
      </x:c>
      <x:c r="H570" s="14" t="n">
        <x:v>82.42027178802527</x:v>
      </x:c>
      <x:c r="I570" s="2" t="str">
        <x:v>S048</x:v>
      </x:c>
    </x:row>
    <x:row r="571" ht="27" customHeight="1">
      <x:c r="A571" s="2" t="str">
        <x:v>short_coordinated_seed44_v1</x:v>
      </x:c>
      <x:c r="B571" s="2" t="str">
        <x:v>2005 / short_coordinated</x:v>
      </x:c>
      <x:c r="C571" s="2" t="n">
        <x:v>5</x:v>
      </x:c>
      <x:c r="D571" s="14" t="n">
        <x:v>4.877403662332793</x:v>
      </x:c>
      <x:c r="E571" s="14" t="n">
        <x:v>0.7129308202153887</x:v>
      </x:c>
      <x:c r="F571" s="14" t="n">
        <x:v>4.164472840935983</x:v>
      </x:c>
      <x:c r="G571" s="14" t="n">
        <x:v>0.8328804736937059</x:v>
      </x:c>
      <x:c r="H571" s="14" t="n">
        <x:v>82.45536487502977</x:v>
      </x:c>
      <x:c r="I571" s="2" t="str">
        <x:v>S048</x:v>
      </x:c>
    </x:row>
    <x:row r="572" ht="27" customHeight="1">
      <x:c r="A572" s="2" t="str">
        <x:v>short_no_roll_seed42_v1</x:v>
      </x:c>
      <x:c r="B572" s="2" t="str">
        <x:v>2003 / short_coordinated</x:v>
      </x:c>
      <x:c r="C572" s="2" t="n">
        <x:v>1</x:v>
      </x:c>
      <x:c r="D572" s="14" t="n">
        <x:v>8.473635402786762</x:v>
      </x:c>
      <x:c r="E572" s="14" t="n">
        <x:v>1.1807672142830041</x:v>
      </x:c>
      <x:c r="F572" s="14" t="n">
        <x:v>7.292868173945591</x:v>
      </x:c>
      <x:c r="G572" s="14" t="n">
        <x:v>0.7142857142857143</x:v>
      </x:c>
      <x:c r="H572" s="14" t="n">
        <x:v>83.3761817009945</x:v>
      </x:c>
      <x:c r="I572" s="2" t="str">
        <x:v>S051</x:v>
      </x:c>
    </x:row>
    <x:row r="573" ht="27" customHeight="1">
      <x:c r="A573" s="2" t="str">
        <x:v>short_no_roll_seed42_v1</x:v>
      </x:c>
      <x:c r="B573" s="2" t="str">
        <x:v>2003 / short_coordinated</x:v>
      </x:c>
      <x:c r="C573" s="2" t="n">
        <x:v>2</x:v>
      </x:c>
      <x:c r="D573" s="14" t="n">
        <x:v>6.539155971058799</x:v>
      </x:c>
      <x:c r="E573" s="14" t="n">
        <x:v>1.1454902657919832</x:v>
      </x:c>
      <x:c r="F573" s="14" t="n">
        <x:v>5.393665708849192</x:v>
      </x:c>
      <x:c r="G573" s="14" t="n">
        <x:v>0.2627205467917505</x:v>
      </x:c>
      <x:c r="H573" s="14" t="n">
        <x:v>82.78909113400732</x:v>
      </x:c>
      <x:c r="I573" s="2" t="str">
        <x:v>S051</x:v>
      </x:c>
    </x:row>
    <x:row r="574" ht="27" customHeight="1">
      <x:c r="A574" s="2" t="str">
        <x:v>short_no_roll_seed42_v1</x:v>
      </x:c>
      <x:c r="B574" s="2" t="str">
        <x:v>2003 / short_coordinated</x:v>
      </x:c>
      <x:c r="C574" s="2" t="n">
        <x:v>3</x:v>
      </x:c>
      <x:c r="D574" s="14" t="n">
        <x:v>5.6098039839273826</x:v>
      </x:c>
      <x:c r="E574" s="14" t="n">
        <x:v>0.9840648141510956</x:v>
      </x:c>
      <x:c r="F574" s="14" t="n">
        <x:v>4.625739165889028</x:v>
      </x:c>
      <x:c r="G574" s="14" t="n">
        <x:v>0.7142857142857143</x:v>
      </x:c>
      <x:c r="H574" s="14" t="n">
        <x:v>83.09044511499815</x:v>
      </x:c>
      <x:c r="I574" s="2" t="str">
        <x:v>S051</x:v>
      </x:c>
    </x:row>
    <x:row r="575" ht="27" customHeight="1">
      <x:c r="A575" s="2" t="str">
        <x:v>short_no_roll_seed42_v1</x:v>
      </x:c>
      <x:c r="B575" s="2" t="str">
        <x:v>2003 / short_coordinated</x:v>
      </x:c>
      <x:c r="C575" s="2" t="n">
        <x:v>4</x:v>
      </x:c>
      <x:c r="D575" s="14" t="n">
        <x:v>4.91987675474123</x:v>
      </x:c>
      <x:c r="E575" s="14" t="n">
        <x:v>0.7749044201563081</x:v>
      </x:c>
      <x:c r="F575" s="14" t="n">
        <x:v>4.144972336566662</x:v>
      </x:c>
      <x:c r="G575" s="14" t="n">
        <x:v>0.7142857142857143</x:v>
      </x:c>
      <x:c r="H575" s="14" t="n">
        <x:v>83.25375882099615</x:v>
      </x:c>
      <x:c r="I575" s="2" t="str">
        <x:v>S051</x:v>
      </x:c>
    </x:row>
    <x:row r="576" ht="27" customHeight="1">
      <x:c r="A576" s="2" t="str">
        <x:v>short_no_roll_seed42_v1</x:v>
      </x:c>
      <x:c r="B576" s="2" t="str">
        <x:v>2003 / short_coordinated</x:v>
      </x:c>
      <x:c r="C576" s="2" t="n">
        <x:v>5</x:v>
      </x:c>
      <x:c r="D576" s="14" t="n">
        <x:v>4.644901698812499</x:v>
      </x:c>
      <x:c r="E576" s="14" t="n">
        <x:v>0.7135805135873883</x:v>
      </x:c>
      <x:c r="F576" s="14" t="n">
        <x:v>3.931321186177871</x:v>
      </x:c>
      <x:c r="G576" s="14" t="n">
        <x:v>0.7142857142857143</x:v>
      </x:c>
      <x:c r="H576" s="14" t="n">
        <x:v>83.19308995601023</x:v>
      </x:c>
      <x:c r="I576" s="2" t="str">
        <x:v>S051</x:v>
      </x:c>
    </x:row>
    <x:row r="577" ht="27" customHeight="1">
      <x:c r="A577" s="2" t="str">
        <x:v>short_no_roll_seed42_v1</x:v>
      </x:c>
      <x:c r="B577" s="2" t="str">
        <x:v>2003 / short_no_roll</x:v>
      </x:c>
      <x:c r="C577" s="2" t="n">
        <x:v>1</x:v>
      </x:c>
      <x:c r="D577" s="14" t="n">
        <x:v>7.668402310222616</x:v>
      </x:c>
      <x:c r="E577" s="14" t="n">
        <x:v>1.117079877716196</x:v>
      </x:c>
      <x:c r="F577" s="14" t="n">
        <x:v>6.551322432125316</x:v>
      </x:c>
      <x:c r="G577" s="14" t="n">
        <x:v>0.4544522753490304</x:v>
      </x:c>
      <x:c r="H577" s="14" t="n">
        <x:v>83.36834915800137</x:v>
      </x:c>
      <x:c r="I577" s="2" t="str">
        <x:v>S052</x:v>
      </x:c>
    </x:row>
    <x:row r="578" ht="27" customHeight="1">
      <x:c r="A578" s="2" t="str">
        <x:v>short_no_roll_seed42_v1</x:v>
      </x:c>
      <x:c r="B578" s="2" t="str">
        <x:v>2003 / short_no_roll</x:v>
      </x:c>
      <x:c r="C578" s="2" t="n">
        <x:v>2</x:v>
      </x:c>
      <x:c r="D578" s="14" t="n">
        <x:v>4.606211525095088</x:v>
      </x:c>
      <x:c r="E578" s="14" t="n">
        <x:v>0.8629200796184637</x:v>
      </x:c>
      <x:c r="F578" s="14" t="n">
        <x:v>3.743291448754118</x:v>
      </x:c>
      <x:c r="G578" s="14" t="n">
        <x:v>0.7142857142857143</x:v>
      </x:c>
      <x:c r="H578" s="14" t="n">
        <x:v>83.27124380400346</x:v>
      </x:c>
      <x:c r="I578" s="2" t="str">
        <x:v>S052</x:v>
      </x:c>
    </x:row>
    <x:row r="579" ht="27" customHeight="1">
      <x:c r="A579" s="2" t="str">
        <x:v>short_no_roll_seed42_v1</x:v>
      </x:c>
      <x:c r="B579" s="2" t="str">
        <x:v>2003 / short_no_roll</x:v>
      </x:c>
      <x:c r="C579" s="2" t="n">
        <x:v>3</x:v>
      </x:c>
      <x:c r="D579" s="14" t="n">
        <x:v>4.125673987371537</x:v>
      </x:c>
      <x:c r="E579" s="14" t="n">
        <x:v>0.7390897670365355</x:v>
      </x:c>
      <x:c r="F579" s="14" t="n">
        <x:v>3.3865842252131313</x:v>
      </x:c>
      <x:c r="G579" s="14" t="n">
        <x:v>0.7142857142857143</x:v>
      </x:c>
      <x:c r="H579" s="14" t="n">
        <x:v>83.0255514330056</x:v>
      </x:c>
      <x:c r="I579" s="2" t="str">
        <x:v>S052</x:v>
      </x:c>
    </x:row>
    <x:row r="580" ht="27" customHeight="1">
      <x:c r="A580" s="2" t="str">
        <x:v>short_no_roll_seed42_v1</x:v>
      </x:c>
      <x:c r="B580" s="2" t="str">
        <x:v>2003 / short_no_roll</x:v>
      </x:c>
      <x:c r="C580" s="2" t="n">
        <x:v>4</x:v>
      </x:c>
      <x:c r="D580" s="14" t="n">
        <x:v>3.8642124282124706</x:v>
      </x:c>
      <x:c r="E580" s="14" t="n">
        <x:v>0.652242597449771</x:v>
      </x:c>
      <x:c r="F580" s="14" t="n">
        <x:v>3.211969834459407</x:v>
      </x:c>
      <x:c r="G580" s="14" t="n">
        <x:v>0.7142857142857143</x:v>
      </x:c>
      <x:c r="H580" s="14" t="n">
        <x:v>82.95659714599606</x:v>
      </x:c>
      <x:c r="I580" s="2" t="str">
        <x:v>S052</x:v>
      </x:c>
    </x:row>
    <x:row r="581" ht="27" customHeight="1">
      <x:c r="A581" s="2" t="str">
        <x:v>short_no_roll_seed42_v1</x:v>
      </x:c>
      <x:c r="B581" s="2" t="str">
        <x:v>2003 / short_no_roll</x:v>
      </x:c>
      <x:c r="C581" s="2" t="n">
        <x:v>5</x:v>
      </x:c>
      <x:c r="D581" s="14" t="n">
        <x:v>3.6678747929575497</x:v>
      </x:c>
      <x:c r="E581" s="14" t="n">
        <x:v>0.6140732774344246</x:v>
      </x:c>
      <x:c r="F581" s="14" t="n">
        <x:v>3.0538015158280083</x:v>
      </x:c>
      <x:c r="G581" s="14" t="n">
        <x:v>0.4544056803783998</x:v>
      </x:c>
      <x:c r="H581" s="14" t="n">
        <x:v>83.24220453099406</x:v>
      </x:c>
      <x:c r="I581" s="2" t="str">
        <x:v>S052</x:v>
      </x:c>
    </x:row>
    <x:row r="582" ht="27" customHeight="1">
      <x:c r="A582" s="2" t="str">
        <x:v>short_no_roll_seed42_v1</x:v>
      </x:c>
      <x:c r="B582" s="2" t="str">
        <x:v>2004 / short_coordinated</x:v>
      </x:c>
      <x:c r="C582" s="2" t="n">
        <x:v>1</x:v>
      </x:c>
      <x:c r="D582" s="14" t="n">
        <x:v>8.316063300423</x:v>
      </x:c>
      <x:c r="E582" s="14" t="n">
        <x:v>1.154296197702208</x:v>
      </x:c>
      <x:c r="F582" s="14" t="n">
        <x:v>7.161767099824403</x:v>
      </x:c>
      <x:c r="G582" s="14" t="n">
        <x:v>0</x:v>
      </x:c>
      <x:c r="H582" s="14" t="n">
        <x:v>83.54963516899443</x:v>
      </x:c>
      <x:c r="I582" s="2" t="str">
        <x:v>S053</x:v>
      </x:c>
    </x:row>
    <x:row r="583" ht="27" customHeight="1">
      <x:c r="A583" s="2" t="str">
        <x:v>short_no_roll_seed42_v1</x:v>
      </x:c>
      <x:c r="B583" s="2" t="str">
        <x:v>2004 / short_coordinated</x:v>
      </x:c>
      <x:c r="C583" s="2" t="n">
        <x:v>2</x:v>
      </x:c>
      <x:c r="D583" s="14" t="n">
        <x:v>5.58921591644092</x:v>
      </x:c>
      <x:c r="E583" s="14" t="n">
        <x:v>0.9105146674777541</x:v>
      </x:c>
      <x:c r="F583" s="14" t="n">
        <x:v>4.678701234900433</x:v>
      </x:c>
      <x:c r="G583" s="14" t="n">
        <x:v>0</x:v>
      </x:c>
      <x:c r="H583" s="14" t="n">
        <x:v>83.47814017400378</x:v>
      </x:c>
      <x:c r="I583" s="2" t="str">
        <x:v>S053</x:v>
      </x:c>
    </x:row>
    <x:row r="584" ht="27" customHeight="1">
      <x:c r="A584" s="2" t="str">
        <x:v>short_no_roll_seed42_v1</x:v>
      </x:c>
      <x:c r="B584" s="2" t="str">
        <x:v>2004 / short_coordinated</x:v>
      </x:c>
      <x:c r="C584" s="2" t="n">
        <x:v>3</x:v>
      </x:c>
      <x:c r="D584" s="14" t="n">
        <x:v>5.0409403286321695</x:v>
      </x:c>
      <x:c r="E584" s="14" t="n">
        <x:v>0.7808915294725877</x:v>
      </x:c>
      <x:c r="F584" s="14" t="n">
        <x:v>4.260048799807458</x:v>
      </x:c>
      <x:c r="G584" s="14" t="n">
        <x:v>0</x:v>
      </x:c>
      <x:c r="H584" s="14" t="n">
        <x:v>83.54907168899081</x:v>
      </x:c>
      <x:c r="I584" s="2" t="str">
        <x:v>S053</x:v>
      </x:c>
    </x:row>
    <x:row r="585" ht="27" customHeight="1">
      <x:c r="A585" s="2" t="str">
        <x:v>short_no_roll_seed42_v1</x:v>
      </x:c>
      <x:c r="B585" s="2" t="str">
        <x:v>2004 / short_coordinated</x:v>
      </x:c>
      <x:c r="C585" s="2" t="n">
        <x:v>4</x:v>
      </x:c>
      <x:c r="D585" s="14" t="n">
        <x:v>4.8002164205321876</x:v>
      </x:c>
      <x:c r="E585" s="14" t="n">
        <x:v>0.7155569909554919</x:v>
      </x:c>
      <x:c r="F585" s="14" t="n">
        <x:v>4.08465943982839</x:v>
      </x:c>
      <x:c r="G585" s="14" t="n">
        <x:v>0</x:v>
      </x:c>
      <x:c r="H585" s="14" t="n">
        <x:v>83.43095254599757</x:v>
      </x:c>
      <x:c r="I585" s="2" t="str">
        <x:v>S053</x:v>
      </x:c>
    </x:row>
    <x:row r="586" ht="27" customHeight="1">
      <x:c r="A586" s="2" t="str">
        <x:v>short_no_roll_seed42_v1</x:v>
      </x:c>
      <x:c r="B586" s="2" t="str">
        <x:v>2004 / short_coordinated</x:v>
      </x:c>
      <x:c r="C586" s="2" t="n">
        <x:v>5</x:v>
      </x:c>
      <x:c r="D586" s="14" t="n">
        <x:v>4.592048513310035</x:v>
      </x:c>
      <x:c r="E586" s="14" t="n">
        <x:v>0.6802852948760743</x:v>
      </x:c>
      <x:c r="F586" s="14" t="n">
        <x:v>3.9117632131747273</x:v>
      </x:c>
      <x:c r="G586" s="14" t="n">
        <x:v>0</x:v>
      </x:c>
      <x:c r="H586" s="14" t="n">
        <x:v>83.37044592799793</x:v>
      </x:c>
      <x:c r="I586" s="2" t="str">
        <x:v>S053</x:v>
      </x:c>
    </x:row>
    <x:row r="587" ht="27" customHeight="1">
      <x:c r="A587" s="2" t="str">
        <x:v>short_no_roll_seed42_v1</x:v>
      </x:c>
      <x:c r="B587" s="2" t="str">
        <x:v>2004 / short_no_roll</x:v>
      </x:c>
      <x:c r="C587" s="2" t="n">
        <x:v>1</x:v>
      </x:c>
      <x:c r="D587" s="14" t="n">
        <x:v>8.132029850464647</x:v>
      </x:c>
      <x:c r="E587" s="14" t="n">
        <x:v>1.2169632978756408</x:v>
      </x:c>
      <x:c r="F587" s="14" t="n">
        <x:v>6.915066561735499</x:v>
      </x:c>
      <x:c r="G587" s="14" t="n">
        <x:v>0</x:v>
      </x:c>
      <x:c r="H587" s="14" t="n">
        <x:v>83.71736018099182</x:v>
      </x:c>
      <x:c r="I587" s="2" t="str">
        <x:v>S054</x:v>
      </x:c>
    </x:row>
    <x:row r="588" ht="27" customHeight="1">
      <x:c r="A588" s="2" t="str">
        <x:v>short_no_roll_seed42_v1</x:v>
      </x:c>
      <x:c r="B588" s="2" t="str">
        <x:v>2004 / short_no_roll</x:v>
      </x:c>
      <x:c r="C588" s="2" t="n">
        <x:v>2</x:v>
      </x:c>
      <x:c r="D588" s="14" t="n">
        <x:v>5.386198078579915</x:v>
      </x:c>
      <x:c r="E588" s="14" t="n">
        <x:v>1.1344296566360748</x:v>
      </x:c>
      <x:c r="F588" s="14" t="n">
        <x:v>4.251768423163372</x:v>
      </x:c>
      <x:c r="G588" s="14" t="n">
        <x:v>0</x:v>
      </x:c>
      <x:c r="H588" s="14" t="n">
        <x:v>83.65709005499957</x:v>
      </x:c>
      <x:c r="I588" s="2" t="str">
        <x:v>S054</x:v>
      </x:c>
    </x:row>
    <x:row r="589" ht="27" customHeight="1">
      <x:c r="A589" s="2" t="str">
        <x:v>short_no_roll_seed42_v1</x:v>
      </x:c>
      <x:c r="B589" s="2" t="str">
        <x:v>2004 / short_no_roll</x:v>
      </x:c>
      <x:c r="C589" s="2" t="n">
        <x:v>3</x:v>
      </x:c>
      <x:c r="D589" s="14" t="n">
        <x:v>4.105933793060615</x:v>
      </x:c>
      <x:c r="E589" s="14" t="n">
        <x:v>0.7743272712773375</x:v>
      </x:c>
      <x:c r="F589" s="14" t="n">
        <x:v>3.331606517667356</x:v>
      </x:c>
      <x:c r="G589" s="14" t="n">
        <x:v>0</x:v>
      </x:c>
      <x:c r="H589" s="14" t="n">
        <x:v>83.71719549699628</x:v>
      </x:c>
      <x:c r="I589" s="2" t="str">
        <x:v>S054</x:v>
      </x:c>
    </x:row>
    <x:row r="590" ht="27" customHeight="1">
      <x:c r="A590" s="2" t="str">
        <x:v>short_no_roll_seed42_v1</x:v>
      </x:c>
      <x:c r="B590" s="2" t="str">
        <x:v>2004 / short_no_roll</x:v>
      </x:c>
      <x:c r="C590" s="2" t="n">
        <x:v>4</x:v>
      </x:c>
      <x:c r="D590" s="14" t="n">
        <x:v>3.714533294253337</x:v>
      </x:c>
      <x:c r="E590" s="14" t="n">
        <x:v>0.6680870749380278</x:v>
      </x:c>
      <x:c r="F590" s="14" t="n">
        <x:v>3.0464462115026802</x:v>
      </x:c>
      <x:c r="G590" s="14" t="n">
        <x:v>0</x:v>
      </x:c>
      <x:c r="H590" s="14" t="n">
        <x:v>83.67345047100389</x:v>
      </x:c>
      <x:c r="I590" s="2" t="str">
        <x:v>S054</x:v>
      </x:c>
    </x:row>
    <x:row r="591" ht="27" customHeight="1">
      <x:c r="A591" s="2" t="str">
        <x:v>short_no_roll_seed42_v1</x:v>
      </x:c>
      <x:c r="B591" s="2" t="str">
        <x:v>2004 / short_no_roll</x:v>
      </x:c>
      <x:c r="C591" s="2" t="n">
        <x:v>5</x:v>
      </x:c>
      <x:c r="D591" s="14" t="n">
        <x:v>3.454149087676612</x:v>
      </x:c>
      <x:c r="E591" s="14" t="n">
        <x:v>0.6168808843702307</x:v>
      </x:c>
      <x:c r="F591" s="14" t="n">
        <x:v>2.8372682046402447</x:v>
      </x:c>
      <x:c r="G591" s="14" t="n">
        <x:v>0</x:v>
      </x:c>
      <x:c r="H591" s="14" t="n">
        <x:v>83.67144231400744</x:v>
      </x:c>
      <x:c r="I591" s="2" t="str">
        <x:v>S054</x:v>
      </x:c>
    </x:row>
    <x:row r="592" ht="27" customHeight="1">
      <x:c r="A592" s="2" t="str">
        <x:v>short_no_roll_seed42_v1</x:v>
      </x:c>
      <x:c r="B592" s="2" t="str">
        <x:v>2005 / short_coordinated</x:v>
      </x:c>
      <x:c r="C592" s="2" t="n">
        <x:v>1</x:v>
      </x:c>
      <x:c r="D592" s="14" t="n">
        <x:v>8.385129345652393</x:v>
      </x:c>
      <x:c r="E592" s="14" t="n">
        <x:v>1.1731578791537858</x:v>
      </x:c>
      <x:c r="F592" s="14" t="n">
        <x:v>7.211971443937258</x:v>
      </x:c>
      <x:c r="G592" s="14" t="n">
        <x:v>0.8328804736937059</x:v>
      </x:c>
      <x:c r="H592" s="14" t="n">
        <x:v>83.63333847900503</x:v>
      </x:c>
      <x:c r="I592" s="2" t="str">
        <x:v>S055</x:v>
      </x:c>
    </x:row>
    <x:row r="593" ht="27" customHeight="1">
      <x:c r="A593" s="2" t="str">
        <x:v>short_no_roll_seed42_v1</x:v>
      </x:c>
      <x:c r="B593" s="2" t="str">
        <x:v>2005 / short_coordinated</x:v>
      </x:c>
      <x:c r="C593" s="2" t="n">
        <x:v>2</x:v>
      </x:c>
      <x:c r="D593" s="14" t="n">
        <x:v>6.433073262119537</x:v>
      </x:c>
      <x:c r="E593" s="14" t="n">
        <x:v>1.1125978553843925</x:v>
      </x:c>
      <x:c r="F593" s="14" t="n">
        <x:v>5.320475416720066</x:v>
      </x:c>
      <x:c r="G593" s="14" t="n">
        <x:v>0.8328804736937059</x:v>
      </x:c>
      <x:c r="H593" s="14" t="n">
        <x:v>83.67731779000314</x:v>
      </x:c>
      <x:c r="I593" s="2" t="str">
        <x:v>S055</x:v>
      </x:c>
    </x:row>
    <x:row r="594" ht="27" customHeight="1">
      <x:c r="A594" s="2" t="str">
        <x:v>short_no_roll_seed42_v1</x:v>
      </x:c>
      <x:c r="B594" s="2" t="str">
        <x:v>2005 / short_coordinated</x:v>
      </x:c>
      <x:c r="C594" s="2" t="n">
        <x:v>3</x:v>
      </x:c>
      <x:c r="D594" s="14" t="n">
        <x:v>5.6087416407397335</x:v>
      </x:c>
      <x:c r="E594" s="14" t="n">
        <x:v>0.9797157008782067</x:v>
      </x:c>
      <x:c r="F594" s="14" t="n">
        <x:v>4.629025944053669</x:v>
      </x:c>
      <x:c r="G594" s="14" t="n">
        <x:v>0.8328804736937059</x:v>
      </x:c>
      <x:c r="H594" s="14" t="n">
        <x:v>83.65868312999373</x:v>
      </x:c>
      <x:c r="I594" s="2" t="str">
        <x:v>S055</x:v>
      </x:c>
    </x:row>
    <x:row r="595" ht="27" customHeight="1">
      <x:c r="A595" s="2" t="str">
        <x:v>short_no_roll_seed42_v1</x:v>
      </x:c>
      <x:c r="B595" s="2" t="str">
        <x:v>2005 / short_coordinated</x:v>
      </x:c>
      <x:c r="C595" s="2" t="n">
        <x:v>4</x:v>
      </x:c>
      <x:c r="D595" s="14" t="n">
        <x:v>4.981282043944844</x:v>
      </x:c>
      <x:c r="E595" s="14" t="n">
        <x:v>0.7816854511456721</x:v>
      </x:c>
      <x:c r="F595" s="14" t="n">
        <x:v>4.1995965922275165</x:v>
      </x:c>
      <x:c r="G595" s="14" t="n">
        <x:v>0.8328804736937059</x:v>
      </x:c>
      <x:c r="H595" s="14" t="n">
        <x:v>83.59676178099471</x:v>
      </x:c>
      <x:c r="I595" s="2" t="str">
        <x:v>S055</x:v>
      </x:c>
    </x:row>
    <x:row r="596" ht="27" customHeight="1">
      <x:c r="A596" s="2" t="str">
        <x:v>short_no_roll_seed42_v1</x:v>
      </x:c>
      <x:c r="B596" s="2" t="str">
        <x:v>2005 / short_coordinated</x:v>
      </x:c>
      <x:c r="C596" s="2" t="n">
        <x:v>5</x:v>
      </x:c>
      <x:c r="D596" s="14" t="n">
        <x:v>4.676778499427659</x:v>
      </x:c>
      <x:c r="E596" s="14" t="n">
        <x:v>0.7105159072772317</x:v>
      </x:c>
      <x:c r="F596" s="14" t="n">
        <x:v>3.9662625911595573</x:v>
      </x:c>
      <x:c r="G596" s="14" t="n">
        <x:v>0.8328804736937059</x:v>
      </x:c>
      <x:c r="H596" s="14" t="n">
        <x:v>83.53484787300113</x:v>
      </x:c>
      <x:c r="I596" s="2" t="str">
        <x:v>S055</x:v>
      </x:c>
    </x:row>
    <x:row r="597" ht="27" customHeight="1">
      <x:c r="A597" s="2" t="str">
        <x:v>short_no_roll_seed42_v1</x:v>
      </x:c>
      <x:c r="B597" s="2" t="str">
        <x:v>2005 / short_no_roll</x:v>
      </x:c>
      <x:c r="C597" s="2" t="n">
        <x:v>1</x:v>
      </x:c>
      <x:c r="D597" s="14" t="n">
        <x:v>8.103931536759866</x:v>
      </x:c>
      <x:c r="E597" s="14" t="n">
        <x:v>1.198801702245727</x:v>
      </x:c>
      <x:c r="F597" s="14" t="n">
        <x:v>6.90512983451414</x:v>
      </x:c>
      <x:c r="G597" s="14" t="n">
        <x:v>0.8328804736937059</x:v>
      </x:c>
      <x:c r="H597" s="14" t="n">
        <x:v>83.46490099201037</x:v>
      </x:c>
      <x:c r="I597" s="2" t="str">
        <x:v>S056</x:v>
      </x:c>
    </x:row>
    <x:row r="598" ht="27" customHeight="1">
      <x:c r="A598" s="2" t="str">
        <x:v>short_no_roll_seed42_v1</x:v>
      </x:c>
      <x:c r="B598" s="2" t="str">
        <x:v>2005 / short_no_roll</x:v>
      </x:c>
      <x:c r="C598" s="2" t="n">
        <x:v>2</x:v>
      </x:c>
      <x:c r="D598" s="14" t="n">
        <x:v>5.7560172885885015</x:v>
      </x:c>
      <x:c r="E598" s="14" t="n">
        <x:v>1.1529184198745377</x:v>
      </x:c>
      <x:c r="F598" s="14" t="n">
        <x:v>4.603098871153029</x:v>
      </x:c>
      <x:c r="G598" s="14" t="n">
        <x:v>0.8328804736937059</x:v>
      </x:c>
      <x:c r="H598" s="14" t="n">
        <x:v>83.65280567998707</x:v>
      </x:c>
      <x:c r="I598" s="2" t="str">
        <x:v>S056</x:v>
      </x:c>
    </x:row>
    <x:row r="599" ht="27" customHeight="1">
      <x:c r="A599" s="2" t="str">
        <x:v>short_no_roll_seed42_v1</x:v>
      </x:c>
      <x:c r="B599" s="2" t="str">
        <x:v>2005 / short_no_roll</x:v>
      </x:c>
      <x:c r="C599" s="2" t="n">
        <x:v>3</x:v>
      </x:c>
      <x:c r="D599" s="14" t="n">
        <x:v>4.640616706570091</x:v>
      </x:c>
      <x:c r="E599" s="14" t="n">
        <x:v>0.9344582380846028</x:v>
      </x:c>
      <x:c r="F599" s="14" t="n">
        <x:v>3.7061584697050205</x:v>
      </x:c>
      <x:c r="G599" s="14" t="n">
        <x:v>0.8328804736937059</x:v>
      </x:c>
      <x:c r="H599" s="14" t="n">
        <x:v>83.58983189900755</x:v>
      </x:c>
      <x:c r="I599" s="2" t="str">
        <x:v>S056</x:v>
      </x:c>
    </x:row>
    <x:row r="600" ht="27" customHeight="1">
      <x:c r="A600" s="2" t="str">
        <x:v>short_no_roll_seed42_v1</x:v>
      </x:c>
      <x:c r="B600" s="2" t="str">
        <x:v>2005 / short_no_roll</x:v>
      </x:c>
      <x:c r="C600" s="2" t="n">
        <x:v>4</x:v>
      </x:c>
      <x:c r="D600" s="14" t="n">
        <x:v>3.8249361417482577</x:v>
      </x:c>
      <x:c r="E600" s="14" t="n">
        <x:v>0.6908866665933443</x:v>
      </x:c>
      <x:c r="F600" s="14" t="n">
        <x:v>3.134049474430816</x:v>
      </x:c>
      <x:c r="G600" s="14" t="n">
        <x:v>0.8328804736937059</x:v>
      </x:c>
      <x:c r="H600" s="14" t="n">
        <x:v>83.52311941000517</x:v>
      </x:c>
      <x:c r="I600" s="2" t="str">
        <x:v>S056</x:v>
      </x:c>
    </x:row>
    <x:row r="601" ht="27" customHeight="1">
      <x:c r="A601" s="2" t="str">
        <x:v>short_no_roll_seed42_v1</x:v>
      </x:c>
      <x:c r="B601" s="2" t="str">
        <x:v>2005 / short_no_roll</x:v>
      </x:c>
      <x:c r="C601" s="2" t="n">
        <x:v>5</x:v>
      </x:c>
      <x:c r="D601" s="14" t="n">
        <x:v>3.585384159136916</x:v>
      </x:c>
      <x:c r="E601" s="14" t="n">
        <x:v>0.6448757217058441</x:v>
      </x:c>
      <x:c r="F601" s="14" t="n">
        <x:v>2.940508435144449</x:v>
      </x:c>
      <x:c r="G601" s="14" t="n">
        <x:v>0.8328804736937059</x:v>
      </x:c>
      <x:c r="H601" s="14" t="n">
        <x:v>83.72943696699804</x:v>
      </x:c>
      <x:c r="I601" s="2" t="str">
        <x:v>S056</x:v>
      </x:c>
    </x:row>
    <x:row r="602" ht="27" customHeight="1">
      <x:c r="A602" s="2" t="str">
        <x:v>masked_pilot_2004_2005_seed42_v2</x:v>
      </x:c>
      <x:c r="B602" s="2" t="str">
        <x:v>2004 / baseline</x:v>
      </x:c>
      <x:c r="C602" s="2" t="n">
        <x:v>1</x:v>
      </x:c>
      <x:c r="D602" s="14" t="n">
        <x:v>7.631368964529403</x:v>
      </x:c>
      <x:c r="E602" s="14"/>
      <x:c r="F602" s="14"/>
      <x:c r="G602" s="14" t="n">
        <x:v>1</x:v>
      </x:c>
      <x:c r="H602" s="14" t="n">
        <x:v>75.77529716701247</x:v>
      </x:c>
      <x:c r="I602" s="2" t="str">
        <x:v>S061</x:v>
      </x:c>
    </x:row>
    <x:row r="603" ht="27" customHeight="1">
      <x:c r="A603" s="2" t="str">
        <x:v>masked_pilot_2004_2005_seed42_v2</x:v>
      </x:c>
      <x:c r="B603" s="2" t="str">
        <x:v>2004 / baseline</x:v>
      </x:c>
      <x:c r="C603" s="2" t="n">
        <x:v>2</x:v>
      </x:c>
      <x:c r="D603" s="14" t="n">
        <x:v>4.9581681511286275</x:v>
      </x:c>
      <x:c r="E603" s="14"/>
      <x:c r="F603" s="14"/>
      <x:c r="G603" s="14" t="n">
        <x:v>0.1991311764802765</x:v>
      </x:c>
      <x:c r="H603" s="14" t="n">
        <x:v>75.89832375198603</x:v>
      </x:c>
      <x:c r="I603" s="2" t="str">
        <x:v>S061</x:v>
      </x:c>
    </x:row>
    <x:row r="604" ht="27" customHeight="1">
      <x:c r="A604" s="2" t="str">
        <x:v>masked_pilot_2004_2005_seed42_v2</x:v>
      </x:c>
      <x:c r="B604" s="2" t="str">
        <x:v>2004 / baseline</x:v>
      </x:c>
      <x:c r="C604" s="2" t="n">
        <x:v>3</x:v>
      </x:c>
      <x:c r="D604" s="14" t="n">
        <x:v>4.391292756780639</x:v>
      </x:c>
      <x:c r="E604" s="14"/>
      <x:c r="F604" s="14"/>
      <x:c r="G604" s="14" t="n">
        <x:v>0.12077937189715085</x:v>
      </x:c>
      <x:c r="H604" s="14" t="n">
        <x:v>76.07171280193143</x:v>
      </x:c>
      <x:c r="I604" s="2" t="str">
        <x:v>S061</x:v>
      </x:c>
    </x:row>
    <x:row r="605" ht="27" customHeight="1">
      <x:c r="A605" s="2" t="str">
        <x:v>masked_pilot_2004_2005_seed42_v2</x:v>
      </x:c>
      <x:c r="B605" s="2" t="str">
        <x:v>2004 / baseline</x:v>
      </x:c>
      <x:c r="C605" s="2" t="n">
        <x:v>4</x:v>
      </x:c>
      <x:c r="D605" s="14" t="n">
        <x:v>3.8555636436433134</x:v>
      </x:c>
      <x:c r="E605" s="14"/>
      <x:c r="F605" s="14"/>
      <x:c r="G605" s="14" t="n">
        <x:v>0</x:v>
      </x:c>
      <x:c r="H605" s="14" t="n">
        <x:v>75.93324162298813</x:v>
      </x:c>
      <x:c r="I605" s="2" t="str">
        <x:v>S061</x:v>
      </x:c>
    </x:row>
    <x:row r="606" ht="27" customHeight="1">
      <x:c r="A606" s="2" t="str">
        <x:v>masked_pilot_2004_2005_seed42_v2</x:v>
      </x:c>
      <x:c r="B606" s="2" t="str">
        <x:v>2004 / baseline</x:v>
      </x:c>
      <x:c r="C606" s="2" t="n">
        <x:v>5</x:v>
      </x:c>
      <x:c r="D606" s="14" t="n">
        <x:v>3.5820599760850675</x:v>
      </x:c>
      <x:c r="E606" s="14"/>
      <x:c r="F606" s="14"/>
      <x:c r="G606" s="14" t="n">
        <x:v>0</x:v>
      </x:c>
      <x:c r="H606" s="14" t="n">
        <x:v>75.85692343197297</x:v>
      </x:c>
      <x:c r="I606" s="2" t="str">
        <x:v>S061</x:v>
      </x:c>
    </x:row>
    <x:row r="607" ht="27" customHeight="1">
      <x:c r="A607" s="2" t="str">
        <x:v>masked_pilot_2004_2005_seed42_v2</x:v>
      </x:c>
      <x:c r="B607" s="2" t="str">
        <x:v>2004 / masked</x:v>
      </x:c>
      <x:c r="C607" s="2" t="n">
        <x:v>1</x:v>
      </x:c>
      <x:c r="D607" s="14" t="n">
        <x:v>8.683048316584829</x:v>
      </x:c>
      <x:c r="E607" s="14"/>
      <x:c r="F607" s="14"/>
      <x:c r="G607" s="14" t="n">
        <x:v>0.17161620419178172</x:v>
      </x:c>
      <x:c r="H607" s="14" t="n">
        <x:v>89.28703375998884</x:v>
      </x:c>
      <x:c r="I607" s="2" t="str">
        <x:v>S062</x:v>
      </x:c>
    </x:row>
    <x:row r="608" ht="27" customHeight="1">
      <x:c r="A608" s="2" t="str">
        <x:v>masked_pilot_2004_2005_seed42_v2</x:v>
      </x:c>
      <x:c r="B608" s="2" t="str">
        <x:v>2004 / masked</x:v>
      </x:c>
      <x:c r="C608" s="2" t="n">
        <x:v>2</x:v>
      </x:c>
      <x:c r="D608" s="14" t="n">
        <x:v>6.649272047955057</x:v>
      </x:c>
      <x:c r="E608" s="14"/>
      <x:c r="F608" s="14"/>
      <x:c r="G608" s="14" t="n">
        <x:v>0</x:v>
      </x:c>
      <x:c r="H608" s="14" t="n">
        <x:v>88.98396678699646</x:v>
      </x:c>
      <x:c r="I608" s="2" t="str">
        <x:v>S062</x:v>
      </x:c>
    </x:row>
    <x:row r="609" ht="27" customHeight="1">
      <x:c r="A609" s="2" t="str">
        <x:v>masked_pilot_2004_2005_seed42_v2</x:v>
      </x:c>
      <x:c r="B609" s="2" t="str">
        <x:v>2004 / masked</x:v>
      </x:c>
      <x:c r="C609" s="2" t="n">
        <x:v>3</x:v>
      </x:c>
      <x:c r="D609" s="14" t="n">
        <x:v>5.711797803259262</x:v>
      </x:c>
      <x:c r="E609" s="14"/>
      <x:c r="F609" s="14"/>
      <x:c r="G609" s="14" t="n">
        <x:v>0</x:v>
      </x:c>
      <x:c r="H609" s="14" t="n">
        <x:v>89.0169274630025</x:v>
      </x:c>
      <x:c r="I609" s="2" t="str">
        <x:v>S062</x:v>
      </x:c>
    </x:row>
    <x:row r="610" ht="27" customHeight="1">
      <x:c r="A610" s="2" t="str">
        <x:v>masked_pilot_2004_2005_seed42_v2</x:v>
      </x:c>
      <x:c r="B610" s="2" t="str">
        <x:v>2004 / masked</x:v>
      </x:c>
      <x:c r="C610" s="2" t="n">
        <x:v>4</x:v>
      </x:c>
      <x:c r="D610" s="14" t="n">
        <x:v>5.043073794421027</x:v>
      </x:c>
      <x:c r="E610" s="14"/>
      <x:c r="F610" s="14"/>
      <x:c r="G610" s="14" t="n">
        <x:v>0</x:v>
      </x:c>
      <x:c r="H610" s="14" t="n">
        <x:v>88.74023719399702</x:v>
      </x:c>
      <x:c r="I610" s="2" t="str">
        <x:v>S062</x:v>
      </x:c>
    </x:row>
    <x:row r="611" ht="27" customHeight="1">
      <x:c r="A611" s="2" t="str">
        <x:v>masked_pilot_2004_2005_seed42_v2</x:v>
      </x:c>
      <x:c r="B611" s="2" t="str">
        <x:v>2004 / masked</x:v>
      </x:c>
      <x:c r="C611" s="2" t="n">
        <x:v>5</x:v>
      </x:c>
      <x:c r="D611" s="14" t="n">
        <x:v>4.804711355272766</x:v>
      </x:c>
      <x:c r="E611" s="14"/>
      <x:c r="F611" s="14"/>
      <x:c r="G611" s="14" t="n">
        <x:v>0</x:v>
      </x:c>
      <x:c r="H611" s="14" t="n">
        <x:v>89.00770004908554</x:v>
      </x:c>
      <x:c r="I611" s="2" t="str">
        <x:v>S062</x:v>
      </x:c>
    </x:row>
    <x:row r="612" ht="27" customHeight="1">
      <x:c r="A612" s="2" t="str">
        <x:v>masked_pilot_2004_2005_seed42_v2</x:v>
      </x:c>
      <x:c r="B612" s="2" t="str">
        <x:v>2005 / baseline</x:v>
      </x:c>
      <x:c r="C612" s="2" t="n">
        <x:v>1</x:v>
      </x:c>
      <x:c r="D612" s="14" t="n">
        <x:v>7.727773994436045</x:v>
      </x:c>
      <x:c r="E612" s="14"/>
      <x:c r="F612" s="14"/>
      <x:c r="G612" s="14" t="n">
        <x:v>0.8328804736937059</x:v>
      </x:c>
      <x:c r="H612" s="14" t="n">
        <x:v>75.29991698591039</x:v>
      </x:c>
      <x:c r="I612" s="2" t="str">
        <x:v>S063</x:v>
      </x:c>
    </x:row>
    <x:row r="613" ht="27" customHeight="1">
      <x:c r="A613" s="2" t="str">
        <x:v>masked_pilot_2004_2005_seed42_v2</x:v>
      </x:c>
      <x:c r="B613" s="2" t="str">
        <x:v>2005 / baseline</x:v>
      </x:c>
      <x:c r="C613" s="2" t="n">
        <x:v>2</x:v>
      </x:c>
      <x:c r="D613" s="14" t="n">
        <x:v>5.121682914016802</x:v>
      </x:c>
      <x:c r="E613" s="14"/>
      <x:c r="F613" s="14"/>
      <x:c r="G613" s="14" t="n">
        <x:v>0.8328804736937059</x:v>
      </x:c>
      <x:c r="H613" s="14" t="n">
        <x:v>75.90506602602545</x:v>
      </x:c>
      <x:c r="I613" s="2" t="str">
        <x:v>S063</x:v>
      </x:c>
    </x:row>
    <x:row r="614" ht="27" customHeight="1">
      <x:c r="A614" s="2" t="str">
        <x:v>masked_pilot_2004_2005_seed42_v2</x:v>
      </x:c>
      <x:c r="B614" s="2" t="str">
        <x:v>2005 / baseline</x:v>
      </x:c>
      <x:c r="C614" s="2" t="n">
        <x:v>3</x:v>
      </x:c>
      <x:c r="D614" s="14" t="n">
        <x:v>4.353603806946894</x:v>
      </x:c>
      <x:c r="E614" s="14"/>
      <x:c r="F614" s="14"/>
      <x:c r="G614" s="14" t="n">
        <x:v>0.8328804736937059</x:v>
      </x:c>
      <x:c r="H614" s="14" t="n">
        <x:v>75.90718690608628</x:v>
      </x:c>
      <x:c r="I614" s="2" t="str">
        <x:v>S063</x:v>
      </x:c>
    </x:row>
    <x:row r="615" ht="27" customHeight="1">
      <x:c r="A615" s="2" t="str">
        <x:v>masked_pilot_2004_2005_seed42_v2</x:v>
      </x:c>
      <x:c r="B615" s="2" t="str">
        <x:v>2005 / baseline</x:v>
      </x:c>
      <x:c r="C615" s="2" t="n">
        <x:v>4</x:v>
      </x:c>
      <x:c r="D615" s="14" t="n">
        <x:v>3.775704776844405</x:v>
      </x:c>
      <x:c r="E615" s="14"/>
      <x:c r="F615" s="14"/>
      <x:c r="G615" s="14" t="n">
        <x:v>0.8328804736937059</x:v>
      </x:c>
      <x:c r="H615" s="14" t="n">
        <x:v>75.82134190003853</x:v>
      </x:c>
      <x:c r="I615" s="2" t="str">
        <x:v>S063</x:v>
      </x:c>
    </x:row>
    <x:row r="616" ht="27" customHeight="1">
      <x:c r="A616" s="2" t="str">
        <x:v>masked_pilot_2004_2005_seed42_v2</x:v>
      </x:c>
      <x:c r="B616" s="2" t="str">
        <x:v>2005 / baseline</x:v>
      </x:c>
      <x:c r="C616" s="2" t="n">
        <x:v>5</x:v>
      </x:c>
      <x:c r="D616" s="14" t="n">
        <x:v>3.4497775433923277</x:v>
      </x:c>
      <x:c r="E616" s="14"/>
      <x:c r="F616" s="14"/>
      <x:c r="G616" s="14" t="n">
        <x:v>0.8328804736937059</x:v>
      </x:c>
      <x:c r="H616" s="14" t="n">
        <x:v>75.5379598919535</x:v>
      </x:c>
      <x:c r="I616" s="2" t="str">
        <x:v>S063</x:v>
      </x:c>
    </x:row>
    <x:row r="617" ht="27" customHeight="1">
      <x:c r="A617" s="2" t="str">
        <x:v>masked_pilot_2004_2005_seed42_v2</x:v>
      </x:c>
      <x:c r="B617" s="2" t="str">
        <x:v>2005 / masked</x:v>
      </x:c>
      <x:c r="C617" s="2" t="n">
        <x:v>1</x:v>
      </x:c>
      <x:c r="D617" s="14" t="n">
        <x:v>8.661262425620233</x:v>
      </x:c>
      <x:c r="E617" s="14"/>
      <x:c r="F617" s="14"/>
      <x:c r="G617" s="14" t="n">
        <x:v>0.8328063065294764</x:v>
      </x:c>
      <x:c r="H617" s="14" t="n">
        <x:v>88.97755733400118</x:v>
      </x:c>
      <x:c r="I617" s="2" t="str">
        <x:v>S064</x:v>
      </x:c>
    </x:row>
    <x:row r="618" ht="27" customHeight="1">
      <x:c r="A618" s="2" t="str">
        <x:v>masked_pilot_2004_2005_seed42_v2</x:v>
      </x:c>
      <x:c r="B618" s="2" t="str">
        <x:v>2005 / masked</x:v>
      </x:c>
      <x:c r="C618" s="2" t="n">
        <x:v>2</x:v>
      </x:c>
      <x:c r="D618" s="14" t="n">
        <x:v>6.775962628367002</x:v>
      </x:c>
      <x:c r="E618" s="14"/>
      <x:c r="F618" s="14"/>
      <x:c r="G618" s="14" t="n">
        <x:v>0.8327321327658244</x:v>
      </x:c>
      <x:c r="H618" s="14" t="n">
        <x:v>89.13763481099159</x:v>
      </x:c>
      <x:c r="I618" s="2" t="str">
        <x:v>S064</x:v>
      </x:c>
    </x:row>
    <x:row r="619" ht="27" customHeight="1">
      <x:c r="A619" s="2" t="str">
        <x:v>masked_pilot_2004_2005_seed42_v2</x:v>
      </x:c>
      <x:c r="B619" s="2" t="str">
        <x:v>2005 / masked</x:v>
      </x:c>
      <x:c r="C619" s="2" t="n">
        <x:v>3</x:v>
      </x:c>
      <x:c r="D619" s="14" t="n">
        <x:v>5.720950949222535</x:v>
      </x:c>
      <x:c r="E619" s="14"/>
      <x:c r="F619" s="14"/>
      <x:c r="G619" s="14" t="n">
        <x:v>0.8327321327658244</x:v>
      </x:c>
      <x:c r="H619" s="14" t="n">
        <x:v>88.89116513100453</x:v>
      </x:c>
      <x:c r="I619" s="2" t="str">
        <x:v>S064</x:v>
      </x:c>
    </x:row>
    <x:row r="620" ht="27" customHeight="1">
      <x:c r="A620" s="2" t="str">
        <x:v>masked_pilot_2004_2005_seed42_v2</x:v>
      </x:c>
      <x:c r="B620" s="2" t="str">
        <x:v>2005 / masked</x:v>
      </x:c>
      <x:c r="C620" s="2" t="n">
        <x:v>4</x:v>
      </x:c>
      <x:c r="D620" s="14" t="n">
        <x:v>5.163142420751664</x:v>
      </x:c>
      <x:c r="E620" s="14"/>
      <x:c r="F620" s="14"/>
      <x:c r="G620" s="14" t="n">
        <x:v>0.8327321327658244</x:v>
      </x:c>
      <x:c r="H620" s="14" t="n">
        <x:v>89.27853513194714</x:v>
      </x:c>
      <x:c r="I620" s="2" t="str">
        <x:v>S064</x:v>
      </x:c>
    </x:row>
    <x:row r="621" ht="27" customHeight="1">
      <x:c r="A621" s="2" t="str">
        <x:v>masked_pilot_2004_2005_seed42_v2</x:v>
      </x:c>
      <x:c r="B621" s="2" t="str">
        <x:v>2005 / masked</x:v>
      </x:c>
      <x:c r="C621" s="2" t="n">
        <x:v>5</x:v>
      </x:c>
      <x:c r="D621" s="14" t="n">
        <x:v>4.933276903903698</x:v>
      </x:c>
      <x:c r="E621" s="14"/>
      <x:c r="F621" s="14"/>
      <x:c r="G621" s="14" t="n">
        <x:v>0.8327321327658244</x:v>
      </x:c>
      <x:c r="H621" s="14" t="n">
        <x:v>89.00342575705145</x:v>
      </x:c>
      <x:c r="I621" s="2" t="str">
        <x:v>S064</x:v>
      </x:c>
    </x:row>
    <x:row r="622" ht="27" customHeight="1">
      <x:c r="A622" s="2" t="str">
        <x:v>masked_overlap_2004_seed42_v1</x:v>
      </x:c>
      <x:c r="B622" s="2" t="str">
        <x:v>2004 / masked</x:v>
      </x:c>
      <x:c r="C622" s="2" t="n">
        <x:v>1</x:v>
      </x:c>
      <x:c r="D622" s="14" t="n">
        <x:v>8.683048316584829</x:v>
      </x:c>
      <x:c r="E622" s="14" t="n">
        <x:v>1.1246037622699347</x:v>
      </x:c>
      <x:c r="F622" s="14" t="n">
        <x:v>7.558444558507037</x:v>
      </x:c>
      <x:c r="G622" s="14" t="n">
        <x:v>0.17161620419178172</x:v>
      </x:c>
      <x:c r="H622" s="14" t="n">
        <x:v>88.79159661498852</x:v>
      </x:c>
      <x:c r="I622" s="2" t="str">
        <x:v>S067</x:v>
      </x:c>
    </x:row>
    <x:row r="623" ht="27" customHeight="1">
      <x:c r="A623" s="2" t="str">
        <x:v>masked_overlap_2004_seed42_v1</x:v>
      </x:c>
      <x:c r="B623" s="2" t="str">
        <x:v>2004 / masked</x:v>
      </x:c>
      <x:c r="C623" s="2" t="n">
        <x:v>2</x:v>
      </x:c>
      <x:c r="D623" s="14" t="n">
        <x:v>6.649272047955057</x:v>
      </x:c>
      <x:c r="E623" s="14" t="n">
        <x:v>0.9697492240030138</x:v>
      </x:c>
      <x:c r="F623" s="14" t="n">
        <x:v>5.679522812518927</x:v>
      </x:c>
      <x:c r="G623" s="14" t="n">
        <x:v>0</x:v>
      </x:c>
      <x:c r="H623" s="14" t="n">
        <x:v>89.17184138600715</x:v>
      </x:c>
      <x:c r="I623" s="2" t="str">
        <x:v>S067</x:v>
      </x:c>
    </x:row>
    <x:row r="624" ht="27" customHeight="1">
      <x:c r="A624" s="2" t="str">
        <x:v>masked_overlap_2004_seed42_v1</x:v>
      </x:c>
      <x:c r="B624" s="2" t="str">
        <x:v>2004 / masked</x:v>
      </x:c>
      <x:c r="C624" s="2" t="n">
        <x:v>3</x:v>
      </x:c>
      <x:c r="D624" s="14" t="n">
        <x:v>5.711797803259262</x:v>
      </x:c>
      <x:c r="E624" s="14" t="n">
        <x:v>0.8958758726296827</x:v>
      </x:c>
      <x:c r="F624" s="14" t="n">
        <x:v>4.815921931010683</x:v>
      </x:c>
      <x:c r="G624" s="14" t="n">
        <x:v>0</x:v>
      </x:c>
      <x:c r="H624" s="14" t="n">
        <x:v>88.7418853159761</x:v>
      </x:c>
      <x:c r="I624" s="2" t="str">
        <x:v>S067</x:v>
      </x:c>
    </x:row>
    <x:row r="625" ht="27" customHeight="1">
      <x:c r="A625" s="2" t="str">
        <x:v>masked_overlap_2004_seed42_v1</x:v>
      </x:c>
      <x:c r="B625" s="2" t="str">
        <x:v>2004 / masked</x:v>
      </x:c>
      <x:c r="C625" s="2" t="n">
        <x:v>4</x:v>
      </x:c>
      <x:c r="D625" s="14" t="n">
        <x:v>5.043073794421027</x:v>
      </x:c>
      <x:c r="E625" s="14" t="n">
        <x:v>0.7572089788858848</x:v>
      </x:c>
      <x:c r="F625" s="14" t="n">
        <x:v>4.285864810504572</x:v>
      </x:c>
      <x:c r="G625" s="14" t="n">
        <x:v>0</x:v>
      </x:c>
      <x:c r="H625" s="14" t="n">
        <x:v>88.9268860280281</x:v>
      </x:c>
      <x:c r="I625" s="2" t="str">
        <x:v>S067</x:v>
      </x:c>
    </x:row>
    <x:row r="626" ht="27" customHeight="1">
      <x:c r="A626" s="2" t="str">
        <x:v>masked_overlap_2004_seed42_v1</x:v>
      </x:c>
      <x:c r="B626" s="2" t="str">
        <x:v>2004 / masked</x:v>
      </x:c>
      <x:c r="C626" s="2" t="n">
        <x:v>5</x:v>
      </x:c>
      <x:c r="D626" s="14" t="n">
        <x:v>4.804711355272766</x:v>
      </x:c>
      <x:c r="E626" s="14" t="n">
        <x:v>0.7516216460396262</x:v>
      </x:c>
      <x:c r="F626" s="14" t="n">
        <x:v>4.053089715025919</x:v>
      </x:c>
      <x:c r="G626" s="14" t="n">
        <x:v>0</x:v>
      </x:c>
      <x:c r="H626" s="14" t="n">
        <x:v>88.88150981301442</x:v>
      </x:c>
      <x:c r="I626" s="2" t="str">
        <x:v>S067</x:v>
      </x:c>
    </x:row>
    <x:row r="627" ht="27" customHeight="1">
      <x:c r="A627" s="2" t="str">
        <x:v>masked_overlap_2004_seed42_v1</x:v>
      </x:c>
      <x:c r="B627" s="2" t="str">
        <x:v>2004 / masked_overlap</x:v>
      </x:c>
      <x:c r="C627" s="2" t="n">
        <x:v>1</x:v>
      </x:c>
      <x:c r="D627" s="14" t="n">
        <x:v>8.564234917730932</x:v>
      </x:c>
      <x:c r="E627" s="14" t="n">
        <x:v>1.062892340866806</x:v>
      </x:c>
      <x:c r="F627" s="14" t="n">
        <x:v>7.501342575873255</x:v>
      </x:c>
      <x:c r="G627" s="14" t="n">
        <x:v>0</x:v>
      </x:c>
      <x:c r="H627" s="14" t="n">
        <x:v>88.67549311101902</x:v>
      </x:c>
      <x:c r="I627" s="2" t="str">
        <x:v>S068</x:v>
      </x:c>
    </x:row>
    <x:row r="628" ht="27" customHeight="1">
      <x:c r="A628" s="2" t="str">
        <x:v>masked_overlap_2004_seed42_v1</x:v>
      </x:c>
      <x:c r="B628" s="2" t="str">
        <x:v>2004 / masked_overlap</x:v>
      </x:c>
      <x:c r="C628" s="2" t="n">
        <x:v>2</x:v>
      </x:c>
      <x:c r="D628" s="14" t="n">
        <x:v>6.785603667159215</x:v>
      </x:c>
      <x:c r="E628" s="14" t="n">
        <x:v>1.077640617366337</x:v>
      </x:c>
      <x:c r="F628" s="14" t="n">
        <x:v>5.707963049564215</x:v>
      </x:c>
      <x:c r="G628" s="14" t="n">
        <x:v>0</x:v>
      </x:c>
      <x:c r="H628" s="14" t="n">
        <x:v>89.32071799400728</x:v>
      </x:c>
      <x:c r="I628" s="2" t="str">
        <x:v>S068</x:v>
      </x:c>
    </x:row>
    <x:row r="629" ht="27" customHeight="1">
      <x:c r="A629" s="2" t="str">
        <x:v>masked_overlap_2004_seed42_v1</x:v>
      </x:c>
      <x:c r="B629" s="2" t="str">
        <x:v>2004 / masked_overlap</x:v>
      </x:c>
      <x:c r="C629" s="2" t="n">
        <x:v>3</x:v>
      </x:c>
      <x:c r="D629" s="14" t="n">
        <x:v>5.612248893284127</x:v>
      </x:c>
      <x:c r="E629" s="14" t="n">
        <x:v>0.8621187367860008</x:v>
      </x:c>
      <x:c r="F629" s="14" t="n">
        <x:v>4.750130157641438</x:v>
      </x:c>
      <x:c r="G629" s="14" t="n">
        <x:v>0</x:v>
      </x:c>
      <x:c r="H629" s="14" t="n">
        <x:v>89.09568420005962</x:v>
      </x:c>
      <x:c r="I629" s="2" t="str">
        <x:v>S068</x:v>
      </x:c>
    </x:row>
    <x:row r="630" ht="27" customHeight="1">
      <x:c r="A630" s="2" t="str">
        <x:v>masked_overlap_2004_seed42_v1</x:v>
      </x:c>
      <x:c r="B630" s="2" t="str">
        <x:v>2004 / masked_overlap</x:v>
      </x:c>
      <x:c r="C630" s="2" t="n">
        <x:v>4</x:v>
      </x:c>
      <x:c r="D630" s="14" t="n">
        <x:v>5.119109383629411</x:v>
      </x:c>
      <x:c r="E630" s="14" t="n">
        <x:v>0.8335273877891434</x:v>
      </x:c>
      <x:c r="F630" s="14" t="n">
        <x:v>4.285581985093139</x:v>
      </x:c>
      <x:c r="G630" s="14" t="n">
        <x:v>0</x:v>
      </x:c>
      <x:c r="H630" s="14" t="n">
        <x:v>89.20452020992525</x:v>
      </x:c>
      <x:c r="I630" s="2" t="str">
        <x:v>S068</x:v>
      </x:c>
    </x:row>
    <x:row r="631" ht="27" customHeight="1">
      <x:c r="A631" s="2" t="str">
        <x:v>masked_overlap_2004_seed42_v1</x:v>
      </x:c>
      <x:c r="B631" s="2" t="str">
        <x:v>2004 / masked_overlap</x:v>
      </x:c>
      <x:c r="C631" s="2" t="n">
        <x:v>5</x:v>
      </x:c>
      <x:c r="D631" s="14" t="n">
        <x:v>4.854054416232096</x:v>
      </x:c>
      <x:c r="E631" s="14" t="n">
        <x:v>0.7813741502249637</x:v>
      </x:c>
      <x:c r="F631" s="14" t="n">
        <x:v>4.072680264177834</x:v>
      </x:c>
      <x:c r="G631" s="14" t="n">
        <x:v>0</x:v>
      </x:c>
      <x:c r="H631" s="14" t="n">
        <x:v>89.13096214691177</x:v>
      </x:c>
      <x:c r="I631" s="2" t="str">
        <x:v>S068</x:v>
      </x:c>
    </x:row>
    <x:row r="632" ht="27" customHeight="1">
      <x:c r="A632" s="2" t="str">
        <x:v>forecast_2003_seed42</x:v>
      </x:c>
      <x:c r="B632" s="2" t="str">
        <x:v>2003 / mlp</x:v>
      </x:c>
      <x:c r="C632" s="2" t="n">
        <x:v>1</x:v>
      </x:c>
      <x:c r="D632" s="14" t="n">
        <x:v>0.04225447326226041</x:v>
      </x:c>
      <x:c r="E632" s="14"/>
      <x:c r="F632" s="14"/>
      <x:c r="G632" s="14"/>
      <x:c r="H632" s="14" t="n">
        <x:v>8.489422829996329</x:v>
      </x:c>
      <x:c r="I632" s="2" t="str">
        <x:v>S073</x:v>
      </x:c>
    </x:row>
    <x:row r="633" ht="27" customHeight="1">
      <x:c r="A633" s="2" t="str">
        <x:v>forecast_2003_seed42</x:v>
      </x:c>
      <x:c r="B633" s="2" t="str">
        <x:v>2003 / mlp</x:v>
      </x:c>
      <x:c r="C633" s="2" t="n">
        <x:v>2</x:v>
      </x:c>
      <x:c r="D633" s="14" t="n">
        <x:v>0.033999322723913115</x:v>
      </x:c>
      <x:c r="E633" s="14"/>
      <x:c r="F633" s="14"/>
      <x:c r="G633" s="14"/>
      <x:c r="H633" s="14" t="n">
        <x:v>11.097416625998449</x:v>
      </x:c>
      <x:c r="I633" s="2" t="str">
        <x:v>S073</x:v>
      </x:c>
    </x:row>
    <x:row r="634" ht="27" customHeight="1">
      <x:c r="A634" s="2" t="str">
        <x:v>forecast_2003_seed42</x:v>
      </x:c>
      <x:c r="B634" s="2" t="str">
        <x:v>2003 / mlp</x:v>
      </x:c>
      <x:c r="C634" s="2" t="n">
        <x:v>3</x:v>
      </x:c>
      <x:c r="D634" s="14" t="n">
        <x:v>0.03356292682406221</x:v>
      </x:c>
      <x:c r="E634" s="14"/>
      <x:c r="F634" s="14"/>
      <x:c r="G634" s="14"/>
      <x:c r="H634" s="14" t="n">
        <x:v>6.210153613996226</x:v>
      </x:c>
      <x:c r="I634" s="2" t="str">
        <x:v>S073</x:v>
      </x:c>
    </x:row>
    <x:row r="635" ht="27" customHeight="1">
      <x:c r="A635" s="2" t="str">
        <x:v>forecast_2003_seed42</x:v>
      </x:c>
      <x:c r="B635" s="2" t="str">
        <x:v>2003 / mlp</x:v>
      </x:c>
      <x:c r="C635" s="2" t="n">
        <x:v>4</x:v>
      </x:c>
      <x:c r="D635" s="14" t="n">
        <x:v>0.03334368340215602</x:v>
      </x:c>
      <x:c r="E635" s="14"/>
      <x:c r="F635" s="14"/>
      <x:c r="G635" s="14"/>
      <x:c r="H635" s="14" t="n">
        <x:v>10.914085552998586</x:v>
      </x:c>
      <x:c r="I635" s="2" t="str">
        <x:v>S073</x:v>
      </x:c>
    </x:row>
    <x:row r="636" ht="27" customHeight="1">
      <x:c r="A636" s="2" t="str">
        <x:v>forecast_2003_seed42</x:v>
      </x:c>
      <x:c r="B636" s="2" t="str">
        <x:v>2003 / mlp</x:v>
      </x:c>
      <x:c r="C636" s="2" t="n">
        <x:v>5</x:v>
      </x:c>
      <x:c r="D636" s="14" t="n">
        <x:v>0.03322235932071562</x:v>
      </x:c>
      <x:c r="E636" s="14"/>
      <x:c r="F636" s="14"/>
      <x:c r="G636" s="14" t="n">
        <x:v>0.05494014109961256</x:v>
      </x:c>
      <x:c r="H636" s="14" t="n">
        <x:v>13.948891692998586</x:v>
      </x:c>
      <x:c r="I636" s="2" t="str">
        <x:v>S073</x:v>
      </x:c>
    </x:row>
    <x:row r="637" ht="27" customHeight="1">
      <x:c r="A637" s="2" t="str">
        <x:v>forecast_2003_seed42</x:v>
      </x:c>
      <x:c r="B637" s="2" t="str">
        <x:v>2003 / mlp</x:v>
      </x:c>
      <x:c r="C637" s="2" t="n">
        <x:v>6</x:v>
      </x:c>
      <x:c r="D637" s="14" t="n">
        <x:v>0.03314157899882548</x:v>
      </x:c>
      <x:c r="E637" s="14"/>
      <x:c r="F637" s="14"/>
      <x:c r="G637" s="14"/>
      <x:c r="H637" s="14" t="n">
        <x:v>7.148893566016341</x:v>
      </x:c>
      <x:c r="I637" s="2" t="str">
        <x:v>S073</x:v>
      </x:c>
    </x:row>
    <x:row r="638" ht="27" customHeight="1">
      <x:c r="A638" s="2" t="str">
        <x:v>forecast_2003_seed42</x:v>
      </x:c>
      <x:c r="B638" s="2" t="str">
        <x:v>2003 / mlp</x:v>
      </x:c>
      <x:c r="C638" s="2" t="n">
        <x:v>7</x:v>
      </x:c>
      <x:c r="D638" s="14" t="n">
        <x:v>0.03307721512801756</x:v>
      </x:c>
      <x:c r="E638" s="14"/>
      <x:c r="F638" s="14"/>
      <x:c r="G638" s="14"/>
      <x:c r="H638" s="14" t="n">
        <x:v>7.279014185012784</x:v>
      </x:c>
      <x:c r="I638" s="2" t="str">
        <x:v>S073</x:v>
      </x:c>
    </x:row>
    <x:row r="639" ht="27" customHeight="1">
      <x:c r="A639" s="2" t="str">
        <x:v>forecast_2003_seed42</x:v>
      </x:c>
      <x:c r="B639" s="2" t="str">
        <x:v>2003 / mlp</x:v>
      </x:c>
      <x:c r="C639" s="2" t="n">
        <x:v>8</x:v>
      </x:c>
      <x:c r="D639" s="14" t="n">
        <x:v>0.03302719852793451</x:v>
      </x:c>
      <x:c r="E639" s="14"/>
      <x:c r="F639" s="14"/>
      <x:c r="G639" s="14"/>
      <x:c r="H639" s="14" t="n">
        <x:v>6.7643057309906</x:v>
      </x:c>
      <x:c r="I639" s="2" t="str">
        <x:v>S073</x:v>
      </x:c>
    </x:row>
    <x:row r="640" ht="27" customHeight="1">
      <x:c r="A640" s="2" t="str">
        <x:v>forecast_2003_seed42</x:v>
      </x:c>
      <x:c r="B640" s="2" t="str">
        <x:v>2003 / mlp</x:v>
      </x:c>
      <x:c r="C640" s="2" t="n">
        <x:v>9</x:v>
      </x:c>
      <x:c r="D640" s="14" t="n">
        <x:v>0.03299418052761903</x:v>
      </x:c>
      <x:c r="E640" s="14"/>
      <x:c r="F640" s="14"/>
      <x:c r="G640" s="14"/>
      <x:c r="H640" s="14" t="n">
        <x:v>6.414959952002391</x:v>
      </x:c>
      <x:c r="I640" s="2" t="str">
        <x:v>S073</x:v>
      </x:c>
    </x:row>
    <x:row r="641" ht="27" customHeight="1">
      <x:c r="A641" s="2" t="str">
        <x:v>forecast_2003_seed42</x:v>
      </x:c>
      <x:c r="B641" s="2" t="str">
        <x:v>2003 / mlp</x:v>
      </x:c>
      <x:c r="C641" s="2" t="n">
        <x:v>10</x:v>
      </x:c>
      <x:c r="D641" s="14" t="n">
        <x:v>0.0329666506725123</x:v>
      </x:c>
      <x:c r="E641" s="14"/>
      <x:c r="F641" s="14"/>
      <x:c r="G641" s="14" t="n">
        <x:v>0.057466377021867514</x:v>
      </x:c>
      <x:c r="H641" s="14" t="n">
        <x:v>6.909375802002614</x:v>
      </x:c>
      <x:c r="I641" s="2" t="str">
        <x:v>S073</x:v>
      </x:c>
    </x:row>
    <x:row r="642" ht="27" customHeight="1">
      <x:c r="A642" s="2" t="str">
        <x:v>forecast_2003_seed42</x:v>
      </x:c>
      <x:c r="B642" s="2" t="str">
        <x:v>2003 / mlp</x:v>
      </x:c>
      <x:c r="C642" s="2" t="n">
        <x:v>11</x:v>
      </x:c>
      <x:c r="D642" s="14" t="n">
        <x:v>0.03294106628723781</x:v>
      </x:c>
      <x:c r="E642" s="14"/>
      <x:c r="F642" s="14"/>
      <x:c r="G642" s="14"/>
      <x:c r="H642" s="14" t="n">
        <x:v>6.279641992005054</x:v>
      </x:c>
      <x:c r="I642" s="2" t="str">
        <x:v>S073</x:v>
      </x:c>
    </x:row>
    <x:row r="643" ht="27" customHeight="1">
      <x:c r="A643" s="2" t="str">
        <x:v>forecast_2003_seed42</x:v>
      </x:c>
      <x:c r="B643" s="2" t="str">
        <x:v>2003 / mlp</x:v>
      </x:c>
      <x:c r="C643" s="2" t="n">
        <x:v>12</x:v>
      </x:c>
      <x:c r="D643" s="14" t="n">
        <x:v>0.03291453905737116</x:v>
      </x:c>
      <x:c r="E643" s="14"/>
      <x:c r="F643" s="14"/>
      <x:c r="G643" s="14"/>
      <x:c r="H643" s="14" t="n">
        <x:v>6.575960335001582</x:v>
      </x:c>
      <x:c r="I643" s="2" t="str">
        <x:v>S073</x:v>
      </x:c>
    </x:row>
    <x:row r="644" ht="27" customHeight="1">
      <x:c r="A644" s="2" t="str">
        <x:v>forecast_2003_seed42</x:v>
      </x:c>
      <x:c r="B644" s="2" t="str">
        <x:v>2003 / mlp</x:v>
      </x:c>
      <x:c r="C644" s="2" t="n">
        <x:v>13</x:v>
      </x:c>
      <x:c r="D644" s="14" t="n">
        <x:v>0.032884273749550344</x:v>
      </x:c>
      <x:c r="E644" s="14"/>
      <x:c r="F644" s="14"/>
      <x:c r="G644" s="14"/>
      <x:c r="H644" s="14" t="n">
        <x:v>6.834171652997611</x:v>
      </x:c>
      <x:c r="I644" s="2" t="str">
        <x:v>S073</x:v>
      </x:c>
    </x:row>
    <x:row r="645" ht="27" customHeight="1">
      <x:c r="A645" s="2" t="str">
        <x:v>forecast_2003_seed42</x:v>
      </x:c>
      <x:c r="B645" s="2" t="str">
        <x:v>2003 / mlp</x:v>
      </x:c>
      <x:c r="C645" s="2" t="n">
        <x:v>14</x:v>
      </x:c>
      <x:c r="D645" s="14" t="n">
        <x:v>0.03286527079435577</x:v>
      </x:c>
      <x:c r="E645" s="14"/>
      <x:c r="F645" s="14"/>
      <x:c r="G645" s="14"/>
      <x:c r="H645" s="14" t="n">
        <x:v>6.7821605110075325</x:v>
      </x:c>
      <x:c r="I645" s="2" t="str">
        <x:v>S073</x:v>
      </x:c>
    </x:row>
    <x:row r="646" ht="27" customHeight="1">
      <x:c r="A646" s="2" t="str">
        <x:v>forecast_2003_seed42</x:v>
      </x:c>
      <x:c r="B646" s="2" t="str">
        <x:v>2003 / mlp</x:v>
      </x:c>
      <x:c r="C646" s="2" t="n">
        <x:v>15</x:v>
      </x:c>
      <x:c r="D646" s="14" t="n">
        <x:v>0.03284404672113673</x:v>
      </x:c>
      <x:c r="E646" s="14"/>
      <x:c r="F646" s="14"/>
      <x:c r="G646" s="14" t="n">
        <x:v>0.06023610549530857</x:v>
      </x:c>
      <x:c r="H646" s="14" t="n">
        <x:v>7.098031920992071</x:v>
      </x:c>
      <x:c r="I646" s="2" t="str">
        <x:v>S073</x:v>
      </x:c>
    </x:row>
    <x:row r="647" ht="27" customHeight="1">
      <x:c r="A647" s="2" t="str">
        <x:v>forecast_2003_seed42</x:v>
      </x:c>
      <x:c r="B647" s="2" t="str">
        <x:v>2003 / mlp</x:v>
      </x:c>
      <x:c r="C647" s="2" t="n">
        <x:v>16</x:v>
      </x:c>
      <x:c r="D647" s="14" t="n">
        <x:v>0.0328238102846118</x:v>
      </x:c>
      <x:c r="E647" s="14"/>
      <x:c r="F647" s="14"/>
      <x:c r="G647" s="14"/>
      <x:c r="H647" s="14" t="n">
        <x:v>6.496991971012903</x:v>
      </x:c>
      <x:c r="I647" s="2" t="str">
        <x:v>S073</x:v>
      </x:c>
    </x:row>
    <x:row r="648" ht="27" customHeight="1">
      <x:c r="A648" s="2" t="str">
        <x:v>forecast_2003_seed42</x:v>
      </x:c>
      <x:c r="B648" s="2" t="str">
        <x:v>2003 / mlp</x:v>
      </x:c>
      <x:c r="C648" s="2" t="n">
        <x:v>17</x:v>
      </x:c>
      <x:c r="D648" s="14" t="n">
        <x:v>0.032804038485535626</x:v>
      </x:c>
      <x:c r="E648" s="14"/>
      <x:c r="F648" s="14"/>
      <x:c r="G648" s="14"/>
      <x:c r="H648" s="14" t="n">
        <x:v>6.387688565009739</x:v>
      </x:c>
      <x:c r="I648" s="2" t="str">
        <x:v>S073</x:v>
      </x:c>
    </x:row>
    <x:row r="649" ht="27" customHeight="1">
      <x:c r="A649" s="2" t="str">
        <x:v>forecast_2003_seed42</x:v>
      </x:c>
      <x:c r="B649" s="2" t="str">
        <x:v>2003 / mlp</x:v>
      </x:c>
      <x:c r="C649" s="2" t="n">
        <x:v>18</x:v>
      </x:c>
      <x:c r="D649" s="14" t="n">
        <x:v>0.032791165866154735</x:v>
      </x:c>
      <x:c r="E649" s="14"/>
      <x:c r="F649" s="14"/>
      <x:c r="G649" s="14"/>
      <x:c r="H649" s="14" t="n">
        <x:v>6.506275719992118</x:v>
      </x:c>
      <x:c r="I649" s="2" t="str">
        <x:v>S073</x:v>
      </x:c>
    </x:row>
    <x:row r="650" ht="27" customHeight="1">
      <x:c r="A650" s="2" t="str">
        <x:v>forecast_2003_seed42</x:v>
      </x:c>
      <x:c r="B650" s="2" t="str">
        <x:v>2003 / mlp</x:v>
      </x:c>
      <x:c r="C650" s="2" t="n">
        <x:v>19</x:v>
      </x:c>
      <x:c r="D650" s="14" t="n">
        <x:v>0.032777819154967136</x:v>
      </x:c>
      <x:c r="E650" s="14"/>
      <x:c r="F650" s="14"/>
      <x:c r="G650" s="14"/>
      <x:c r="H650" s="14" t="n">
        <x:v>11.700483425986022</x:v>
      </x:c>
      <x:c r="I650" s="2" t="str">
        <x:v>S073</x:v>
      </x:c>
    </x:row>
    <x:row r="651" ht="27" customHeight="1">
      <x:c r="A651" s="2" t="str">
        <x:v>forecast_2003_seed42</x:v>
      </x:c>
      <x:c r="B651" s="2" t="str">
        <x:v>2003 / mlp</x:v>
      </x:c>
      <x:c r="C651" s="2" t="n">
        <x:v>20</x:v>
      </x:c>
      <x:c r="D651" s="14" t="n">
        <x:v>0.03275455274262748</x:v>
      </x:c>
      <x:c r="E651" s="14"/>
      <x:c r="F651" s="14"/>
      <x:c r="G651" s="14" t="n">
        <x:v>0.06023610549530857</x:v>
      </x:c>
      <x:c r="H651" s="14" t="n">
        <x:v>9.850179266009945</x:v>
      </x:c>
      <x:c r="I651" s="2" t="str">
        <x:v>S073</x:v>
      </x:c>
    </x:row>
    <x:row r="652" ht="27" customHeight="1">
      <x:c r="A652" s="2" t="str">
        <x:v>forecast_2003_seed42</x:v>
      </x:c>
      <x:c r="B652" s="2" t="str">
        <x:v>2003 / mlp</x:v>
      </x:c>
      <x:c r="C652" s="2" t="n">
        <x:v>21</x:v>
      </x:c>
      <x:c r="D652" s="14" t="n">
        <x:v>0.03274448762219961</x:v>
      </x:c>
      <x:c r="E652" s="14"/>
      <x:c r="F652" s="14"/>
      <x:c r="G652" s="14"/>
      <x:c r="H652" s="14" t="n">
        <x:v>6.478109448013129</x:v>
      </x:c>
      <x:c r="I652" s="2" t="str">
        <x:v>S073</x:v>
      </x:c>
    </x:row>
    <x:row r="653" ht="27" customHeight="1">
      <x:c r="A653" s="2" t="str">
        <x:v>forecast_2003_seed42</x:v>
      </x:c>
      <x:c r="B653" s="2" t="str">
        <x:v>2003 / mlp</x:v>
      </x:c>
      <x:c r="C653" s="2" t="n">
        <x:v>22</x:v>
      </x:c>
      <x:c r="D653" s="14" t="n">
        <x:v>0.03272791043714208</x:v>
      </x:c>
      <x:c r="E653" s="14"/>
      <x:c r="F653" s="14"/>
      <x:c r="G653" s="14"/>
      <x:c r="H653" s="14" t="n">
        <x:v>6.226442457991652</x:v>
      </x:c>
      <x:c r="I653" s="2" t="str">
        <x:v>S073</x:v>
      </x:c>
    </x:row>
    <x:row r="654" ht="27" customHeight="1">
      <x:c r="A654" s="2" t="str">
        <x:v>forecast_2003_seed42</x:v>
      </x:c>
      <x:c r="B654" s="2" t="str">
        <x:v>2003 / mlp</x:v>
      </x:c>
      <x:c r="C654" s="2" t="n">
        <x:v>23</x:v>
      </x:c>
      <x:c r="D654" s="14" t="n">
        <x:v>0.03271983941797386</x:v>
      </x:c>
      <x:c r="E654" s="14"/>
      <x:c r="F654" s="14"/>
      <x:c r="G654" s="14"/>
      <x:c r="H654" s="14" t="n">
        <x:v>6.699626223999076</x:v>
      </x:c>
      <x:c r="I654" s="2" t="str">
        <x:v>S073</x:v>
      </x:c>
    </x:row>
    <x:row r="655" ht="27" customHeight="1">
      <x:c r="A655" s="2" t="str">
        <x:v>forecast_2003_seed42</x:v>
      </x:c>
      <x:c r="B655" s="2" t="str">
        <x:v>2003 / mlp</x:v>
      </x:c>
      <x:c r="C655" s="2" t="n">
        <x:v>24</x:v>
      </x:c>
      <x:c r="D655" s="14" t="n">
        <x:v>0.032713396592816635</x:v>
      </x:c>
      <x:c r="E655" s="14"/>
      <x:c r="F655" s="14"/>
      <x:c r="G655" s="14"/>
      <x:c r="H655" s="14" t="n">
        <x:v>11.974363821995212</x:v>
      </x:c>
      <x:c r="I655" s="2" t="str">
        <x:v>S073</x:v>
      </x:c>
    </x:row>
    <x:row r="656" ht="27" customHeight="1">
      <x:c r="A656" s="2" t="str">
        <x:v>forecast_2003_seed42</x:v>
      </x:c>
      <x:c r="B656" s="2" t="str">
        <x:v>2003 / mlp</x:v>
      </x:c>
      <x:c r="C656" s="2" t="n">
        <x:v>25</x:v>
      </x:c>
      <x:c r="D656" s="14" t="n">
        <x:v>0.03269973282158449</x:v>
      </x:c>
      <x:c r="E656" s="14"/>
      <x:c r="F656" s="14"/>
      <x:c r="G656" s="14" t="n">
        <x:v>0.057466377021867514</x:v>
      </x:c>
      <x:c r="H656" s="14" t="n">
        <x:v>6.559367670008214</x:v>
      </x:c>
      <x:c r="I656" s="2" t="str">
        <x:v>S073</x:v>
      </x:c>
    </x:row>
    <x:row r="657" ht="27" customHeight="1">
      <x:c r="A657" s="2" t="str">
        <x:v>forecast_2003_seed42</x:v>
      </x:c>
      <x:c r="B657" s="2" t="str">
        <x:v>2003 / mlp</x:v>
      </x:c>
      <x:c r="C657" s="2" t="n">
        <x:v>26</x:v>
      </x:c>
      <x:c r="D657" s="14" t="n">
        <x:v>0.03269276742118468</x:v>
      </x:c>
      <x:c r="E657" s="14"/>
      <x:c r="F657" s="14"/>
      <x:c r="G657" s="14"/>
      <x:c r="H657" s="14" t="n">
        <x:v>6.374723950983025</x:v>
      </x:c>
      <x:c r="I657" s="2" t="str">
        <x:v>S073</x:v>
      </x:c>
    </x:row>
    <x:row r="658" ht="27" customHeight="1">
      <x:c r="A658" s="2" t="str">
        <x:v>forecast_2003_seed42</x:v>
      </x:c>
      <x:c r="B658" s="2" t="str">
        <x:v>2003 / mlp</x:v>
      </x:c>
      <x:c r="C658" s="2" t="n">
        <x:v>27</x:v>
      </x:c>
      <x:c r="D658" s="14" t="n">
        <x:v>0.03268800569275945</x:v>
      </x:c>
      <x:c r="E658" s="14"/>
      <x:c r="F658" s="14"/>
      <x:c r="G658" s="14"/>
      <x:c r="H658" s="14" t="n">
        <x:v>6.572038132988382</x:v>
      </x:c>
      <x:c r="I658" s="2" t="str">
        <x:v>S073</x:v>
      </x:c>
    </x:row>
    <x:row r="659" ht="27" customHeight="1">
      <x:c r="A659" s="2" t="str">
        <x:v>forecast_2003_seed42</x:v>
      </x:c>
      <x:c r="B659" s="2" t="str">
        <x:v>2003 / mlp</x:v>
      </x:c>
      <x:c r="C659" s="2" t="n">
        <x:v>28</x:v>
      </x:c>
      <x:c r="D659" s="14" t="n">
        <x:v>0.032687624218217526</x:v>
      </x:c>
      <x:c r="E659" s="14"/>
      <x:c r="F659" s="14"/>
      <x:c r="G659" s="14"/>
      <x:c r="H659" s="14" t="n">
        <x:v>7.943750542995986</x:v>
      </x:c>
      <x:c r="I659" s="2" t="str">
        <x:v>S073</x:v>
      </x:c>
    </x:row>
    <x:row r="660" ht="27" customHeight="1">
      <x:c r="A660" s="2" t="str">
        <x:v>forecast_2003_seed42</x:v>
      </x:c>
      <x:c r="B660" s="2" t="str">
        <x:v>2003 / mlp</x:v>
      </x:c>
      <x:c r="C660" s="2" t="n">
        <x:v>29</x:v>
      </x:c>
      <x:c r="D660" s="14" t="n">
        <x:v>0.032675413803202054</x:v>
      </x:c>
      <x:c r="E660" s="14"/>
      <x:c r="F660" s="14"/>
      <x:c r="G660" s="14"/>
      <x:c r="H660" s="14" t="n">
        <x:v>7.422100750991376</x:v>
      </x:c>
      <x:c r="I660" s="2" t="str">
        <x:v>S073</x:v>
      </x:c>
    </x:row>
    <x:row r="661" ht="27" customHeight="1">
      <x:c r="A661" s="2" t="str">
        <x:v>forecast_2003_seed42</x:v>
      </x:c>
      <x:c r="B661" s="2" t="str">
        <x:v>2003 / mlp</x:v>
      </x:c>
      <x:c r="C661" s="2" t="n">
        <x:v>30</x:v>
      </x:c>
      <x:c r="D661" s="14" t="n">
        <x:v>0.03266817105966236</x:v>
      </x:c>
      <x:c r="E661" s="14"/>
      <x:c r="F661" s="14"/>
      <x:c r="G661" s="14" t="n">
        <x:v>0.057466377021867514</x:v>
      </x:c>
      <x:c r="H661" s="14" t="n">
        <x:v>9.506738148978911</x:v>
      </x:c>
      <x:c r="I661" s="2" t="str">
        <x:v>S073</x:v>
      </x:c>
    </x:row>
    <x:row r="662" ht="27" customHeight="1">
      <x:c r="A662" s="2" t="str">
        <x:v>forecast_2003_seed42</x:v>
      </x:c>
      <x:c r="B662" s="2" t="str">
        <x:v>2003 / mlp</x:v>
      </x:c>
      <x:c r="C662" s="2" t="n">
        <x:v>31</x:v>
      </x:c>
      <x:c r="D662" s="14" t="n">
        <x:v>0.032664825835880554</x:v>
      </x:c>
      <x:c r="E662" s="14"/>
      <x:c r="F662" s="14"/>
      <x:c r="G662" s="14"/>
      <x:c r="H662" s="14" t="n">
        <x:v>6.234804161998909</x:v>
      </x:c>
      <x:c r="I662" s="2" t="str">
        <x:v>S073</x:v>
      </x:c>
    </x:row>
    <x:row r="663" ht="27" customHeight="1">
      <x:c r="A663" s="2" t="str">
        <x:v>forecast_2003_seed42</x:v>
      </x:c>
      <x:c r="B663" s="2" t="str">
        <x:v>2003 / mlp</x:v>
      </x:c>
      <x:c r="C663" s="2" t="n">
        <x:v>32</x:v>
      </x:c>
      <x:c r="D663" s="14" t="n">
        <x:v>0.032651928563806366</x:v>
      </x:c>
      <x:c r="E663" s="14"/>
      <x:c r="F663" s="14"/>
      <x:c r="G663" s="14"/>
      <x:c r="H663" s="14" t="n">
        <x:v>6.299667662999127</x:v>
      </x:c>
      <x:c r="I663" s="2" t="str">
        <x:v>S073</x:v>
      </x:c>
    </x:row>
    <x:row r="664" ht="27" customHeight="1">
      <x:c r="A664" s="2" t="str">
        <x:v>forecast_2003_seed42</x:v>
      </x:c>
      <x:c r="B664" s="2" t="str">
        <x:v>2003 / mlp</x:v>
      </x:c>
      <x:c r="C664" s="2" t="n">
        <x:v>33</x:v>
      </x:c>
      <x:c r="D664" s="14" t="n">
        <x:v>0.032654502992145264</x:v>
      </x:c>
      <x:c r="E664" s="14"/>
      <x:c r="F664" s="14"/>
      <x:c r="G664" s="14"/>
      <x:c r="H664" s="14" t="n">
        <x:v>9.41167038900312</x:v>
      </x:c>
      <x:c r="I664" s="2" t="str">
        <x:v>S073</x:v>
      </x:c>
    </x:row>
    <x:row r="665" ht="27" customHeight="1">
      <x:c r="A665" s="2" t="str">
        <x:v>forecast_2003_seed42</x:v>
      </x:c>
      <x:c r="B665" s="2" t="str">
        <x:v>2003 / mlp</x:v>
      </x:c>
      <x:c r="C665" s="2" t="n">
        <x:v>34</x:v>
      </x:c>
      <x:c r="D665" s="14" t="n">
        <x:v>0.0326503520468325</x:v>
      </x:c>
      <x:c r="E665" s="14"/>
      <x:c r="F665" s="14"/>
      <x:c r="G665" s="14"/>
      <x:c r="H665" s="14" t="n">
        <x:v>12.750468943006126</x:v>
      </x:c>
      <x:c r="I665" s="2" t="str">
        <x:v>S073</x:v>
      </x:c>
    </x:row>
    <x:row r="666" ht="27" customHeight="1">
      <x:c r="A666" s="2" t="str">
        <x:v>forecast_2003_seed42</x:v>
      </x:c>
      <x:c r="B666" s="2" t="str">
        <x:v>2003 / mlp</x:v>
      </x:c>
      <x:c r="C666" s="2" t="n">
        <x:v>35</x:v>
      </x:c>
      <x:c r="D666" s="14" t="n">
        <x:v>0.03264359569258376</x:v>
      </x:c>
      <x:c r="E666" s="14"/>
      <x:c r="F666" s="14"/>
      <x:c r="G666" s="14" t="n">
        <x:v>0.057466377021867514</x:v>
      </x:c>
      <x:c r="H666" s="14" t="n">
        <x:v>9.039376525004627</x:v>
      </x:c>
      <x:c r="I666" s="2" t="str">
        <x:v>S073</x:v>
      </x:c>
    </x:row>
    <x:row r="667" ht="27" customHeight="1">
      <x:c r="A667" s="2" t="str">
        <x:v>forecast_2003_seed42</x:v>
      </x:c>
      <x:c r="B667" s="2" t="str">
        <x:v>2003 / mlp</x:v>
      </x:c>
      <x:c r="C667" s="2" t="n">
        <x:v>36</x:v>
      </x:c>
      <x:c r="D667" s="14" t="n">
        <x:v>0.032647396667643484</x:v>
      </x:c>
      <x:c r="E667" s="14"/>
      <x:c r="F667" s="14"/>
      <x:c r="G667" s="14"/>
      <x:c r="H667" s="14" t="n">
        <x:v>6.194755265983986</x:v>
      </x:c>
      <x:c r="I667" s="2" t="str">
        <x:v>S073</x:v>
      </x:c>
    </x:row>
    <x:row r="668" ht="27" customHeight="1">
      <x:c r="A668" s="2" t="str">
        <x:v>forecast_2003_seed42</x:v>
      </x:c>
      <x:c r="B668" s="2" t="str">
        <x:v>2003 / mlp</x:v>
      </x:c>
      <x:c r="C668" s="2" t="n">
        <x:v>37</x:v>
      </x:c>
      <x:c r="D668" s="14" t="n">
        <x:v>0.03263989971058649</x:v>
      </x:c>
      <x:c r="E668" s="14"/>
      <x:c r="F668" s="14"/>
      <x:c r="G668" s="14"/>
      <x:c r="H668" s="14" t="n">
        <x:v>7.039098165987525</x:v>
      </x:c>
      <x:c r="I668" s="2" t="str">
        <x:v>S073</x:v>
      </x:c>
    </x:row>
    <x:row r="669" ht="27" customHeight="1">
      <x:c r="A669" s="2" t="str">
        <x:v>forecast_2003_seed42</x:v>
      </x:c>
      <x:c r="B669" s="2" t="str">
        <x:v>2003 / mlp</x:v>
      </x:c>
      <x:c r="C669" s="2" t="n">
        <x:v>38</x:v>
      </x:c>
      <x:c r="D669" s="14" t="n">
        <x:v>0.032636063173062335</x:v>
      </x:c>
      <x:c r="E669" s="14"/>
      <x:c r="F669" s="14"/>
      <x:c r="G669" s="14"/>
      <x:c r="H669" s="14" t="n">
        <x:v>6.795767887000693</x:v>
      </x:c>
      <x:c r="I669" s="2" t="str">
        <x:v>S073</x:v>
      </x:c>
    </x:row>
    <x:row r="670" ht="27" customHeight="1">
      <x:c r="A670" s="2" t="str">
        <x:v>forecast_2003_seed42</x:v>
      </x:c>
      <x:c r="B670" s="2" t="str">
        <x:v>2003 / mlp</x:v>
      </x:c>
      <x:c r="C670" s="2" t="n">
        <x:v>39</x:v>
      </x:c>
      <x:c r="D670" s="14" t="n">
        <x:v>0.0326444951328934</x:v>
      </x:c>
      <x:c r="E670" s="14"/>
      <x:c r="F670" s="14"/>
      <x:c r="G670" s="14"/>
      <x:c r="H670" s="14" t="n">
        <x:v>7.970858643006068</x:v>
      </x:c>
      <x:c r="I670" s="2" t="str">
        <x:v>S073</x:v>
      </x:c>
    </x:row>
    <x:row r="671" ht="27" customHeight="1">
      <x:c r="A671" s="2" t="str">
        <x:v>forecast_2003_seed42</x:v>
      </x:c>
      <x:c r="B671" s="2" t="str">
        <x:v>2003 / mlp</x:v>
      </x:c>
      <x:c r="C671" s="2" t="n">
        <x:v>40</x:v>
      </x:c>
      <x:c r="D671" s="14" t="n">
        <x:v>0.03264260686791618</x:v>
      </x:c>
      <x:c r="E671" s="14"/>
      <x:c r="F671" s="14"/>
      <x:c r="G671" s="14" t="n">
        <x:v>0.057466377021867514</x:v>
      </x:c>
      <x:c r="H671" s="14" t="n">
        <x:v>9.445743402000517</x:v>
      </x:c>
      <x:c r="I671" s="2" t="str">
        <x:v>S073</x:v>
      </x:c>
    </x:row>
    <x:row r="672" ht="27" customHeight="1">
      <x:c r="A672" s="2" t="str">
        <x:v>forecast_2003_seed42</x:v>
      </x:c>
      <x:c r="B672" s="2" t="str">
        <x:v>2003 / persistence</x:v>
      </x:c>
      <x:c r="C672" s="2" t="n">
        <x:v>0</x:v>
      </x:c>
      <x:c r="D672" s="14"/>
      <x:c r="E672" s="14"/>
      <x:c r="F672" s="14"/>
      <x:c r="G672" s="14" t="n">
        <x:v>0.057466377021867514</x:v>
      </x:c>
      <x:c r="H672" s="14" t="n">
        <x:v>0.44577106900396757</x:v>
      </x:c>
      <x:c r="I672" s="2" t="str">
        <x:v>S074</x:v>
      </x:c>
    </x:row>
    <x:row r="673" ht="27" customHeight="1">
      <x:c r="A673" s="2" t="str">
        <x:v>forecast_2003_seed42</x:v>
      </x:c>
      <x:c r="B673" s="2" t="str">
        <x:v>2003 / transformer</x:v>
      </x:c>
      <x:c r="C673" s="2" t="n">
        <x:v>1</x:v>
      </x:c>
      <x:c r="D673" s="14" t="n">
        <x:v>0.042342349657611564</x:v>
      </x:c>
      <x:c r="E673" s="14"/>
      <x:c r="F673" s="14"/>
      <x:c r="G673" s="14"/>
      <x:c r="H673" s="14" t="n">
        <x:v>44.27892391601927</x:v>
      </x:c>
      <x:c r="I673" s="2" t="str">
        <x:v>S075</x:v>
      </x:c>
    </x:row>
    <x:row r="674" ht="27" customHeight="1">
      <x:c r="A674" s="2" t="str">
        <x:v>forecast_2003_seed42</x:v>
      </x:c>
      <x:c r="B674" s="2" t="str">
        <x:v>2003 / transformer</x:v>
      </x:c>
      <x:c r="C674" s="2" t="n">
        <x:v>2</x:v>
      </x:c>
      <x:c r="D674" s="14" t="n">
        <x:v>0.03395811636817505</x:v>
      </x:c>
      <x:c r="E674" s="14"/>
      <x:c r="F674" s="14"/>
      <x:c r="G674" s="14"/>
      <x:c r="H674" s="14" t="n">
        <x:v>43.172341766010504</x:v>
      </x:c>
      <x:c r="I674" s="2" t="str">
        <x:v>S075</x:v>
      </x:c>
    </x:row>
    <x:row r="675" ht="27" customHeight="1">
      <x:c r="A675" s="2" t="str">
        <x:v>forecast_2003_seed42</x:v>
      </x:c>
      <x:c r="B675" s="2" t="str">
        <x:v>2003 / transformer</x:v>
      </x:c>
      <x:c r="C675" s="2" t="n">
        <x:v>3</x:v>
      </x:c>
      <x:c r="D675" s="14" t="n">
        <x:v>0.03299771893997573</x:v>
      </x:c>
      <x:c r="E675" s="14"/>
      <x:c r="F675" s="14"/>
      <x:c r="G675" s="14"/>
      <x:c r="H675" s="14" t="n">
        <x:v>43.912002219003625</x:v>
      </x:c>
      <x:c r="I675" s="2" t="str">
        <x:v>S075</x:v>
      </x:c>
    </x:row>
    <x:row r="676" ht="27" customHeight="1">
      <x:c r="A676" s="2" t="str">
        <x:v>forecast_2003_seed42</x:v>
      </x:c>
      <x:c r="B676" s="2" t="str">
        <x:v>2003 / transformer</x:v>
      </x:c>
      <x:c r="C676" s="2" t="n">
        <x:v>4</x:v>
      </x:c>
      <x:c r="D676" s="14" t="n">
        <x:v>0.03265731328532656</x:v>
      </x:c>
      <x:c r="E676" s="14"/>
      <x:c r="F676" s="14"/>
      <x:c r="G676" s="14"/>
      <x:c r="H676" s="14" t="n">
        <x:v>43.774550132016884</x:v>
      </x:c>
      <x:c r="I676" s="2" t="str">
        <x:v>S075</x:v>
      </x:c>
    </x:row>
    <x:row r="677" ht="27" customHeight="1">
      <x:c r="A677" s="2" t="str">
        <x:v>forecast_2003_seed42</x:v>
      </x:c>
      <x:c r="B677" s="2" t="str">
        <x:v>2003 / transformer</x:v>
      </x:c>
      <x:c r="C677" s="2" t="n">
        <x:v>5</x:v>
      </x:c>
      <x:c r="D677" s="14" t="n">
        <x:v>0.03245302721806255</x:v>
      </x:c>
      <x:c r="E677" s="14"/>
      <x:c r="F677" s="14"/>
      <x:c r="G677" s="14" t="n">
        <x:v>0.05494014109961256</x:v>
      </x:c>
      <x:c r="H677" s="14" t="n">
        <x:v>45.99257462398964</x:v>
      </x:c>
      <x:c r="I677" s="2" t="str">
        <x:v>S075</x:v>
      </x:c>
    </x:row>
    <x:row r="678" ht="27" customHeight="1">
      <x:c r="A678" s="2" t="str">
        <x:v>forecast_2003_seed42</x:v>
      </x:c>
      <x:c r="B678" s="2" t="str">
        <x:v>2003 / transformer</x:v>
      </x:c>
      <x:c r="C678" s="2" t="n">
        <x:v>6</x:v>
      </x:c>
      <x:c r="D678" s="14" t="n">
        <x:v>0.03232118904115494</x:v>
      </x:c>
      <x:c r="E678" s="14"/>
      <x:c r="F678" s="14"/>
      <x:c r="G678" s="14"/>
      <x:c r="H678" s="14" t="n">
        <x:v>44.3530697899987</x:v>
      </x:c>
      <x:c r="I678" s="2" t="str">
        <x:v>S075</x:v>
      </x:c>
    </x:row>
    <x:row r="679" ht="27" customHeight="1">
      <x:c r="A679" s="2" t="str">
        <x:v>forecast_2003_seed42</x:v>
      </x:c>
      <x:c r="B679" s="2" t="str">
        <x:v>2003 / transformer</x:v>
      </x:c>
      <x:c r="C679" s="2" t="n">
        <x:v>7</x:v>
      </x:c>
      <x:c r="D679" s="14" t="n">
        <x:v>0.0322298417568834</x:v>
      </x:c>
      <x:c r="E679" s="14"/>
      <x:c r="F679" s="14"/>
      <x:c r="G679" s="14"/>
      <x:c r="H679" s="14" t="n">
        <x:v>45.82027312199352</x:v>
      </x:c>
      <x:c r="I679" s="2" t="str">
        <x:v>S075</x:v>
      </x:c>
    </x:row>
    <x:row r="680" ht="27" customHeight="1">
      <x:c r="A680" s="2" t="str">
        <x:v>forecast_2003_seed42</x:v>
      </x:c>
      <x:c r="B680" s="2" t="str">
        <x:v>2003 / transformer</x:v>
      </x:c>
      <x:c r="C680" s="2" t="n">
        <x:v>8</x:v>
      </x:c>
      <x:c r="D680" s="14" t="n">
        <x:v>0.03213518805154985</x:v>
      </x:c>
      <x:c r="E680" s="14"/>
      <x:c r="F680" s="14"/>
      <x:c r="G680" s="14"/>
      <x:c r="H680" s="14" t="n">
        <x:v>43.665184426005</x:v>
      </x:c>
      <x:c r="I680" s="2" t="str">
        <x:v>S075</x:v>
      </x:c>
    </x:row>
    <x:row r="681" ht="27" customHeight="1">
      <x:c r="A681" s="2" t="str">
        <x:v>forecast_2003_seed42</x:v>
      </x:c>
      <x:c r="B681" s="2" t="str">
        <x:v>2003 / transformer</x:v>
      </x:c>
      <x:c r="C681" s="2" t="n">
        <x:v>9</x:v>
      </x:c>
      <x:c r="D681" s="14" t="n">
        <x:v>0.03206828889219813</x:v>
      </x:c>
      <x:c r="E681" s="14"/>
      <x:c r="F681" s="14"/>
      <x:c r="G681" s="14"/>
      <x:c r="H681" s="14" t="n">
        <x:v>44.663057619996835</x:v>
      </x:c>
      <x:c r="I681" s="2" t="str">
        <x:v>S075</x:v>
      </x:c>
    </x:row>
    <x:row r="682" ht="27" customHeight="1">
      <x:c r="A682" s="2" t="str">
        <x:v>forecast_2003_seed42</x:v>
      </x:c>
      <x:c r="B682" s="2" t="str">
        <x:v>2003 / transformer</x:v>
      </x:c>
      <x:c r="C682" s="2" t="n">
        <x:v>10</x:v>
      </x:c>
      <x:c r="D682" s="14" t="n">
        <x:v>0.032015677275203186</x:v>
      </x:c>
      <x:c r="E682" s="14"/>
      <x:c r="F682" s="14"/>
      <x:c r="G682" s="14" t="n">
        <x:v>0.057466377021867514</x:v>
      </x:c>
      <x:c r="H682" s="14" t="n">
        <x:v>45.15411473100539</x:v>
      </x:c>
      <x:c r="I682" s="2" t="str">
        <x:v>S075</x:v>
      </x:c>
    </x:row>
    <x:row r="683" ht="27" customHeight="1">
      <x:c r="A683" s="2" t="str">
        <x:v>forecast_2003_seed42</x:v>
      </x:c>
      <x:c r="B683" s="2" t="str">
        <x:v>2003 / transformer</x:v>
      </x:c>
      <x:c r="C683" s="2" t="n">
        <x:v>11</x:v>
      </x:c>
      <x:c r="D683" s="14" t="n">
        <x:v>0.031959139216441536</x:v>
      </x:c>
      <x:c r="E683" s="14"/>
      <x:c r="F683" s="14"/>
      <x:c r="G683" s="14"/>
      <x:c r="H683" s="14" t="n">
        <x:v>42.695975431997795</x:v>
      </x:c>
      <x:c r="I683" s="2" t="str">
        <x:v>S075</x:v>
      </x:c>
    </x:row>
    <x:row r="684" ht="27" customHeight="1">
      <x:c r="A684" s="2" t="str">
        <x:v>forecast_2003_seed42</x:v>
      </x:c>
      <x:c r="B684" s="2" t="str">
        <x:v>2003 / transformer</x:v>
      </x:c>
      <x:c r="C684" s="2" t="n">
        <x:v>12</x:v>
      </x:c>
      <x:c r="D684" s="14" t="n">
        <x:v>0.031915403018218484</x:v>
      </x:c>
      <x:c r="E684" s="14"/>
      <x:c r="F684" s="14"/>
      <x:c r="G684" s="14"/>
      <x:c r="H684" s="14" t="n">
        <x:v>44.38972844899399</x:v>
      </x:c>
      <x:c r="I684" s="2" t="str">
        <x:v>S075</x:v>
      </x:c>
    </x:row>
    <x:row r="685" ht="27" customHeight="1">
      <x:c r="A685" s="2" t="str">
        <x:v>forecast_2003_seed42</x:v>
      </x:c>
      <x:c r="B685" s="2" t="str">
        <x:v>2003 / transformer</x:v>
      </x:c>
      <x:c r="C685" s="2" t="n">
        <x:v>13</x:v>
      </x:c>
      <x:c r="D685" s="14" t="n">
        <x:v>0.03186747675762442</x:v>
      </x:c>
      <x:c r="E685" s="14"/>
      <x:c r="F685" s="14"/>
      <x:c r="G685" s="14"/>
      <x:c r="H685" s="14" t="n">
        <x:v>43.05615359600051</x:v>
      </x:c>
      <x:c r="I685" s="2" t="str">
        <x:v>S075</x:v>
      </x:c>
    </x:row>
    <x:row r="686" ht="27" customHeight="1">
      <x:c r="A686" s="2" t="str">
        <x:v>forecast_2003_seed42</x:v>
      </x:c>
      <x:c r="B686" s="2" t="str">
        <x:v>2003 / transformer</x:v>
      </x:c>
      <x:c r="C686" s="2" t="n">
        <x:v>14</x:v>
      </x:c>
      <x:c r="D686" s="14" t="n">
        <x:v>0.031837611265735706</x:v>
      </x:c>
      <x:c r="E686" s="14"/>
      <x:c r="F686" s="14"/>
      <x:c r="G686" s="14"/>
      <x:c r="H686" s="14" t="n">
        <x:v>45.75207952002529</x:v>
      </x:c>
      <x:c r="I686" s="2" t="str">
        <x:v>S075</x:v>
      </x:c>
    </x:row>
    <x:row r="687" ht="27" customHeight="1">
      <x:c r="A687" s="2" t="str">
        <x:v>forecast_2003_seed42</x:v>
      </x:c>
      <x:c r="B687" s="2" t="str">
        <x:v>2003 / transformer</x:v>
      </x:c>
      <x:c r="C687" s="2" t="n">
        <x:v>15</x:v>
      </x:c>
      <x:c r="D687" s="14" t="n">
        <x:v>0.03180280944926754</x:v>
      </x:c>
      <x:c r="E687" s="14"/>
      <x:c r="F687" s="14"/>
      <x:c r="G687" s="14" t="n">
        <x:v>0.057466377021867514</x:v>
      </x:c>
      <x:c r="H687" s="14" t="n">
        <x:v>44.149313517002156</x:v>
      </x:c>
      <x:c r="I687" s="2" t="str">
        <x:v>S075</x:v>
      </x:c>
    </x:row>
    <x:row r="688" ht="27" customHeight="1">
      <x:c r="A688" s="2" t="str">
        <x:v>forecast_2003_seed42</x:v>
      </x:c>
      <x:c r="B688" s="2" t="str">
        <x:v>2003 / transformer</x:v>
      </x:c>
      <x:c r="C688" s="2" t="n">
        <x:v>16</x:v>
      </x:c>
      <x:c r="D688" s="14" t="n">
        <x:v>0.031773205234546284</x:v>
      </x:c>
      <x:c r="E688" s="14"/>
      <x:c r="F688" s="14"/>
      <x:c r="G688" s="14"/>
      <x:c r="H688" s="14" t="n">
        <x:v>45.21293639598298</x:v>
      </x:c>
      <x:c r="I688" s="2" t="str">
        <x:v>S075</x:v>
      </x:c>
    </x:row>
    <x:row r="689" ht="27" customHeight="1">
      <x:c r="A689" s="2" t="str">
        <x:v>forecast_2003_seed42</x:v>
      </x:c>
      <x:c r="B689" s="2" t="str">
        <x:v>2003 / transformer</x:v>
      </x:c>
      <x:c r="C689" s="2" t="n">
        <x:v>17</x:v>
      </x:c>
      <x:c r="D689" s="14" t="n">
        <x:v>0.031743754222981424</x:v>
      </x:c>
      <x:c r="E689" s="14"/>
      <x:c r="F689" s="14"/>
      <x:c r="G689" s="14"/>
      <x:c r="H689" s="14" t="n">
        <x:v>43.631187511986354</x:v>
      </x:c>
      <x:c r="I689" s="2" t="str">
        <x:v>S075</x:v>
      </x:c>
    </x:row>
    <x:row r="690" ht="27" customHeight="1">
      <x:c r="A690" s="2" t="str">
        <x:v>forecast_2003_seed42</x:v>
      </x:c>
      <x:c r="B690" s="2" t="str">
        <x:v>2003 / transformer</x:v>
      </x:c>
      <x:c r="C690" s="2" t="n">
        <x:v>18</x:v>
      </x:c>
      <x:c r="D690" s="14" t="n">
        <x:v>0.031713283823518686</x:v>
      </x:c>
      <x:c r="E690" s="14"/>
      <x:c r="F690" s="14"/>
      <x:c r="G690" s="14"/>
      <x:c r="H690" s="14" t="n">
        <x:v>43.71393723998335</x:v>
      </x:c>
      <x:c r="I690" s="2" t="str">
        <x:v>S075</x:v>
      </x:c>
    </x:row>
    <x:row r="691" ht="27" customHeight="1">
      <x:c r="A691" s="2" t="str">
        <x:v>forecast_2003_seed42</x:v>
      </x:c>
      <x:c r="B691" s="2" t="str">
        <x:v>2003 / transformer</x:v>
      </x:c>
      <x:c r="C691" s="2" t="n">
        <x:v>19</x:v>
      </x:c>
      <x:c r="D691" s="14" t="n">
        <x:v>0.03169623274016223</x:v>
      </x:c>
      <x:c r="E691" s="14"/>
      <x:c r="F691" s="14"/>
      <x:c r="G691" s="14"/>
      <x:c r="H691" s="14" t="n">
        <x:v>44.0751470910036</x:v>
      </x:c>
      <x:c r="I691" s="2" t="str">
        <x:v>S075</x:v>
      </x:c>
    </x:row>
    <x:row r="692" ht="27" customHeight="1">
      <x:c r="A692" s="2" t="str">
        <x:v>forecast_2003_seed42</x:v>
      </x:c>
      <x:c r="B692" s="2" t="str">
        <x:v>2003 / transformer</x:v>
      </x:c>
      <x:c r="C692" s="2" t="n">
        <x:v>20</x:v>
      </x:c>
      <x:c r="D692" s="14" t="n">
        <x:v>0.03167050791991503</x:v>
      </x:c>
      <x:c r="E692" s="14"/>
      <x:c r="F692" s="14"/>
      <x:c r="G692" s="14" t="n">
        <x:v>0.057466377021867514</x:v>
      </x:c>
      <x:c r="H692" s="14" t="n">
        <x:v>45.38193688300089</x:v>
      </x:c>
      <x:c r="I692" s="2" t="str">
        <x:v>S075</x:v>
      </x:c>
    </x:row>
    <x:row r="693" ht="27" customHeight="1">
      <x:c r="A693" s="2" t="str">
        <x:v>forecast_2003_seed42</x:v>
      </x:c>
      <x:c r="B693" s="2" t="str">
        <x:v>2003 / transformer</x:v>
      </x:c>
      <x:c r="C693" s="2" t="n">
        <x:v>21</x:v>
      </x:c>
      <x:c r="D693" s="14" t="n">
        <x:v>0.03165374448423141</x:v>
      </x:c>
      <x:c r="E693" s="14"/>
      <x:c r="F693" s="14"/>
      <x:c r="G693" s="14"/>
      <x:c r="H693" s="14" t="n">
        <x:v>42.1847337759973</x:v>
      </x:c>
      <x:c r="I693" s="2" t="str">
        <x:v>S075</x:v>
      </x:c>
    </x:row>
    <x:row r="694" ht="27" customHeight="1">
      <x:c r="A694" s="2" t="str">
        <x:v>forecast_2003_seed42</x:v>
      </x:c>
      <x:c r="B694" s="2" t="str">
        <x:v>2003 / transformer</x:v>
      </x:c>
      <x:c r="C694" s="2" t="n">
        <x:v>22</x:v>
      </x:c>
      <x:c r="D694" s="14" t="n">
        <x:v>0.03162777191733341</x:v>
      </x:c>
      <x:c r="E694" s="14"/>
      <x:c r="F694" s="14"/>
      <x:c r="G694" s="14"/>
      <x:c r="H694" s="14" t="n">
        <x:v>44.766521622019354</x:v>
      </x:c>
      <x:c r="I694" s="2" t="str">
        <x:v>S075</x:v>
      </x:c>
    </x:row>
    <x:row r="695" ht="27" customHeight="1">
      <x:c r="A695" s="2" t="str">
        <x:v>forecast_2003_seed42</x:v>
      </x:c>
      <x:c r="B695" s="2" t="str">
        <x:v>2003 / transformer</x:v>
      </x:c>
      <x:c r="C695" s="2" t="n">
        <x:v>23</x:v>
      </x:c>
      <x:c r="D695" s="14" t="n">
        <x:v>0.031613121441032815</x:v>
      </x:c>
      <x:c r="E695" s="14"/>
      <x:c r="F695" s="14"/>
      <x:c r="G695" s="14"/>
      <x:c r="H695" s="14" t="n">
        <x:v>43.13092057299218</x:v>
      </x:c>
      <x:c r="I695" s="2" t="str">
        <x:v>S075</x:v>
      </x:c>
    </x:row>
    <x:row r="696" ht="27" customHeight="1">
      <x:c r="A696" s="2" t="str">
        <x:v>forecast_2003_seed42</x:v>
      </x:c>
      <x:c r="B696" s="2" t="str">
        <x:v>2003 / transformer</x:v>
      </x:c>
      <x:c r="C696" s="2" t="n">
        <x:v>24</x:v>
      </x:c>
      <x:c r="D696" s="14" t="n">
        <x:v>0.03159093535754112</x:v>
      </x:c>
      <x:c r="E696" s="14"/>
      <x:c r="F696" s="14"/>
      <x:c r="G696" s="14"/>
      <x:c r="H696" s="14" t="n">
        <x:v>44.875788386998465</x:v>
      </x:c>
      <x:c r="I696" s="2" t="str">
        <x:v>S075</x:v>
      </x:c>
    </x:row>
    <x:row r="697" ht="27" customHeight="1">
      <x:c r="A697" s="2" t="str">
        <x:v>forecast_2003_seed42</x:v>
      </x:c>
      <x:c r="B697" s="2" t="str">
        <x:v>2003 / transformer</x:v>
      </x:c>
      <x:c r="C697" s="2" t="n">
        <x:v>25</x:v>
      </x:c>
      <x:c r="D697" s="14" t="n">
        <x:v>0.031577804534422674</x:v>
      </x:c>
      <x:c r="E697" s="14"/>
      <x:c r="F697" s="14"/>
      <x:c r="G697" s="14" t="n">
        <x:v>0.057466377021867514</x:v>
      </x:c>
      <x:c r="H697" s="14" t="n">
        <x:v>46.13526765600545</x:v>
      </x:c>
      <x:c r="I697" s="2" t="str">
        <x:v>S075</x:v>
      </x:c>
    </x:row>
    <x:row r="698" ht="27" customHeight="1">
      <x:c r="A698" s="2" t="str">
        <x:v>forecast_2003_seed42</x:v>
      </x:c>
      <x:c r="B698" s="2" t="str">
        <x:v>2003 / transformer</x:v>
      </x:c>
      <x:c r="C698" s="2" t="n">
        <x:v>26</x:v>
      </x:c>
      <x:c r="D698" s="14" t="n">
        <x:v>0.03156149611120783</x:v>
      </x:c>
      <x:c r="E698" s="14"/>
      <x:c r="F698" s="14"/>
      <x:c r="G698" s="14"/>
      <x:c r="H698" s="14" t="n">
        <x:v>46.551407869003015</x:v>
      </x:c>
      <x:c r="I698" s="2" t="str">
        <x:v>S075</x:v>
      </x:c>
    </x:row>
    <x:row r="699" ht="27" customHeight="1">
      <x:c r="A699" s="2" t="str">
        <x:v>forecast_2003_seed42</x:v>
      </x:c>
      <x:c r="B699" s="2" t="str">
        <x:v>2003 / transformer</x:v>
      </x:c>
      <x:c r="C699" s="2" t="n">
        <x:v>27</x:v>
      </x:c>
      <x:c r="D699" s="14" t="n">
        <x:v>0.03154749611196419</x:v>
      </x:c>
      <x:c r="E699" s="14"/>
      <x:c r="F699" s="14"/>
      <x:c r="G699" s="14"/>
      <x:c r="H699" s="14" t="n">
        <x:v>48.180208381993</x:v>
      </x:c>
      <x:c r="I699" s="2" t="str">
        <x:v>S075</x:v>
      </x:c>
    </x:row>
    <x:row r="700" ht="27" customHeight="1">
      <x:c r="A700" s="2" t="str">
        <x:v>forecast_2003_seed42</x:v>
      </x:c>
      <x:c r="B700" s="2" t="str">
        <x:v>2003 / transformer</x:v>
      </x:c>
      <x:c r="C700" s="2" t="n">
        <x:v>28</x:v>
      </x:c>
      <x:c r="D700" s="14" t="n">
        <x:v>0.03153096387077547</x:v>
      </x:c>
      <x:c r="E700" s="14"/>
      <x:c r="F700" s="14"/>
      <x:c r="G700" s="14"/>
      <x:c r="H700" s="14" t="n">
        <x:v>47.90317751001567</x:v>
      </x:c>
      <x:c r="I700" s="2" t="str">
        <x:v>S075</x:v>
      </x:c>
    </x:row>
    <x:row r="701" ht="27" customHeight="1">
      <x:c r="A701" s="2" t="str">
        <x:v>forecast_2003_seed42</x:v>
      </x:c>
      <x:c r="B701" s="2" t="str">
        <x:v>2003 / transformer</x:v>
      </x:c>
      <x:c r="C701" s="2" t="n">
        <x:v>29</x:v>
      </x:c>
      <x:c r="D701" s="14" t="n">
        <x:v>0.03151839524877183</x:v>
      </x:c>
      <x:c r="E701" s="14"/>
      <x:c r="F701" s="14"/>
      <x:c r="G701" s="14"/>
      <x:c r="H701" s="14" t="n">
        <x:v>48.0043363480072</x:v>
      </x:c>
      <x:c r="I701" s="2" t="str">
        <x:v>S075</x:v>
      </x:c>
    </x:row>
    <x:row r="702" ht="27" customHeight="1">
      <x:c r="A702" s="2" t="str">
        <x:v>forecast_2003_seed42</x:v>
      </x:c>
      <x:c r="B702" s="2" t="str">
        <x:v>2003 / transformer</x:v>
      </x:c>
      <x:c r="C702" s="2" t="n">
        <x:v>30</x:v>
      </x:c>
      <x:c r="D702" s="14" t="n">
        <x:v>0.03150854301645787</x:v>
      </x:c>
      <x:c r="E702" s="14"/>
      <x:c r="F702" s="14"/>
      <x:c r="G702" s="14" t="n">
        <x:v>0.057466377021867514</x:v>
      </x:c>
      <x:c r="H702" s="14" t="n">
        <x:v>49.82347556599416</x:v>
      </x:c>
      <x:c r="I702" s="2" t="str">
        <x:v>S075</x:v>
      </x:c>
    </x:row>
    <x:row r="703" ht="27" customHeight="1">
      <x:c r="A703" s="2" t="str">
        <x:v>forecast_2003_seed42</x:v>
      </x:c>
      <x:c r="B703" s="2" t="str">
        <x:v>2003 / transformer</x:v>
      </x:c>
      <x:c r="C703" s="2" t="n">
        <x:v>31</x:v>
      </x:c>
      <x:c r="D703" s="14" t="n">
        <x:v>0.031494254516367406</x:v>
      </x:c>
      <x:c r="E703" s="14"/>
      <x:c r="F703" s="14"/>
      <x:c r="G703" s="14"/>
      <x:c r="H703" s="14" t="n">
        <x:v>47.03543944799458</x:v>
      </x:c>
      <x:c r="I703" s="2" t="str">
        <x:v>S075</x:v>
      </x:c>
    </x:row>
    <x:row r="704" ht="27" customHeight="1">
      <x:c r="A704" s="2" t="str">
        <x:v>forecast_2003_seed42</x:v>
      </x:c>
      <x:c r="B704" s="2" t="str">
        <x:v>2003 / transformer</x:v>
      </x:c>
      <x:c r="C704" s="2" t="n">
        <x:v>32</x:v>
      </x:c>
      <x:c r="D704" s="14" t="n">
        <x:v>0.031486300808472804</x:v>
      </x:c>
      <x:c r="E704" s="14"/>
      <x:c r="F704" s="14"/>
      <x:c r="G704" s="14"/>
      <x:c r="H704" s="14" t="n">
        <x:v>44.171653619996505</x:v>
      </x:c>
      <x:c r="I704" s="2" t="str">
        <x:v>S075</x:v>
      </x:c>
    </x:row>
    <x:row r="705" ht="27" customHeight="1">
      <x:c r="A705" s="2" t="str">
        <x:v>forecast_2003_seed42</x:v>
      </x:c>
      <x:c r="B705" s="2" t="str">
        <x:v>2003 / transformer</x:v>
      </x:c>
      <x:c r="C705" s="2" t="n">
        <x:v>33</x:v>
      </x:c>
      <x:c r="D705" s="14" t="n">
        <x:v>0.03147898556417001</x:v>
      </x:c>
      <x:c r="E705" s="14"/>
      <x:c r="F705" s="14"/>
      <x:c r="G705" s="14"/>
      <x:c r="H705" s="14" t="n">
        <x:v>42.371403925993945</x:v>
      </x:c>
      <x:c r="I705" s="2" t="str">
        <x:v>S075</x:v>
      </x:c>
    </x:row>
    <x:row r="706" ht="27" customHeight="1">
      <x:c r="A706" s="2" t="str">
        <x:v>forecast_2003_seed42</x:v>
      </x:c>
      <x:c r="B706" s="2" t="str">
        <x:v>2003 / transformer</x:v>
      </x:c>
      <x:c r="C706" s="2" t="n">
        <x:v>34</x:v>
      </x:c>
      <x:c r="D706" s="14" t="n">
        <x:v>0.031466663864399225</x:v>
      </x:c>
      <x:c r="E706" s="14"/>
      <x:c r="F706" s="14"/>
      <x:c r="G706" s="14"/>
      <x:c r="H706" s="14" t="n">
        <x:v>43.935413422994316</x:v>
      </x:c>
      <x:c r="I706" s="2" t="str">
        <x:v>S075</x:v>
      </x:c>
    </x:row>
    <x:row r="707" ht="27" customHeight="1">
      <x:c r="A707" s="2" t="str">
        <x:v>forecast_2003_seed42</x:v>
      </x:c>
      <x:c r="B707" s="2" t="str">
        <x:v>2003 / transformer</x:v>
      </x:c>
      <x:c r="C707" s="2" t="n">
        <x:v>35</x:v>
      </x:c>
      <x:c r="D707" s="14" t="n">
        <x:v>0.03146018574352604</x:v>
      </x:c>
      <x:c r="E707" s="14"/>
      <x:c r="F707" s="14"/>
      <x:c r="G707" s="14" t="n">
        <x:v>0.057466377021867514</x:v>
      </x:c>
      <x:c r="H707" s="14" t="n">
        <x:v>50.6412189900002</x:v>
      </x:c>
      <x:c r="I707" s="2" t="str">
        <x:v>S075</x:v>
      </x:c>
    </x:row>
    <x:row r="708" ht="27" customHeight="1">
      <x:c r="A708" s="2" t="str">
        <x:v>forecast_2003_seed42</x:v>
      </x:c>
      <x:c r="B708" s="2" t="str">
        <x:v>2003 / transformer</x:v>
      </x:c>
      <x:c r="C708" s="2" t="n">
        <x:v>36</x:v>
      </x:c>
      <x:c r="D708" s="14" t="n">
        <x:v>0.03145285074969082</x:v>
      </x:c>
      <x:c r="E708" s="14"/>
      <x:c r="F708" s="14"/>
      <x:c r="G708" s="14"/>
      <x:c r="H708" s="14" t="n">
        <x:v>48.716894418001175</x:v>
      </x:c>
      <x:c r="I708" s="2" t="str">
        <x:v>S075</x:v>
      </x:c>
    </x:row>
    <x:row r="709" ht="27" customHeight="1">
      <x:c r="A709" s="2" t="str">
        <x:v>forecast_2003_seed42</x:v>
      </x:c>
      <x:c r="B709" s="2" t="str">
        <x:v>2003 / transformer</x:v>
      </x:c>
      <x:c r="C709" s="2" t="n">
        <x:v>37</x:v>
      </x:c>
      <x:c r="D709" s="14" t="n">
        <x:v>0.031449476066957624</x:v>
      </x:c>
      <x:c r="E709" s="14"/>
      <x:c r="F709" s="14"/>
      <x:c r="G709" s="14"/>
      <x:c r="H709" s="14" t="n">
        <x:v>49.40807706100168</x:v>
      </x:c>
      <x:c r="I709" s="2" t="str">
        <x:v>S075</x:v>
      </x:c>
    </x:row>
    <x:row r="710" ht="27" customHeight="1">
      <x:c r="A710" s="2" t="str">
        <x:v>forecast_2003_seed42</x:v>
      </x:c>
      <x:c r="B710" s="2" t="str">
        <x:v>2003 / transformer</x:v>
      </x:c>
      <x:c r="C710" s="2" t="n">
        <x:v>38</x:v>
      </x:c>
      <x:c r="D710" s="14" t="n">
        <x:v>0.031445897591900564</x:v>
      </x:c>
      <x:c r="E710" s="14"/>
      <x:c r="F710" s="14"/>
      <x:c r="G710" s="14"/>
      <x:c r="H710" s="14" t="n">
        <x:v>49.24922512998455</x:v>
      </x:c>
      <x:c r="I710" s="2" t="str">
        <x:v>S075</x:v>
      </x:c>
    </x:row>
    <x:row r="711" ht="27" customHeight="1">
      <x:c r="A711" s="2" t="str">
        <x:v>forecast_2003_seed42</x:v>
      </x:c>
      <x:c r="B711" s="2" t="str">
        <x:v>2003 / transformer</x:v>
      </x:c>
      <x:c r="C711" s="2" t="n">
        <x:v>39</x:v>
      </x:c>
      <x:c r="D711" s="14" t="n">
        <x:v>0.03144365524561936</x:v>
      </x:c>
      <x:c r="E711" s="14"/>
      <x:c r="F711" s="14"/>
      <x:c r="G711" s="14"/>
      <x:c r="H711" s="14" t="n">
        <x:v>49.222133145987755</x:v>
      </x:c>
      <x:c r="I711" s="2" t="str">
        <x:v>S075</x:v>
      </x:c>
    </x:row>
    <x:row r="712" ht="27" customHeight="1">
      <x:c r="A712" s="2" t="str">
        <x:v>forecast_2003_seed42</x:v>
      </x:c>
      <x:c r="B712" s="2" t="str">
        <x:v>2003 / transformer</x:v>
      </x:c>
      <x:c r="C712" s="2" t="n">
        <x:v>40</x:v>
      </x:c>
      <x:c r="D712" s="14" t="n">
        <x:v>0.03143953427622871</x:v>
      </x:c>
      <x:c r="E712" s="14"/>
      <x:c r="F712" s="14"/>
      <x:c r="G712" s="14" t="n">
        <x:v>0.057466377021867514</x:v>
      </x:c>
      <x:c r="H712" s="14" t="n">
        <x:v>49.26087567099603</x:v>
      </x:c>
      <x:c r="I712" s="2" t="str">
        <x:v>S075</x:v>
      </x:c>
    </x:row>
    <x:row r="713" ht="27" customHeight="1">
      <x:c r="A713" s="2" t="str">
        <x:v>forecast_residual_2003_seed42</x:v>
      </x:c>
      <x:c r="B713" s="2" t="str">
        <x:v>2003 / transformer_residual</x:v>
      </x:c>
      <x:c r="C713" s="2" t="n">
        <x:v>1</x:v>
      </x:c>
      <x:c r="D713" s="14" t="n">
        <x:v>0.04108055181858023</x:v>
      </x:c>
      <x:c r="E713" s="14"/>
      <x:c r="F713" s="14"/>
      <x:c r="G713" s="14"/>
      <x:c r="H713" s="14" t="n">
        <x:v>43.13240189291537</x:v>
      </x:c>
      <x:c r="I713" s="2" t="str">
        <x:v>S078</x:v>
      </x:c>
    </x:row>
    <x:row r="714" ht="27" customHeight="1">
      <x:c r="A714" s="2" t="str">
        <x:v>forecast_residual_2003_seed42</x:v>
      </x:c>
      <x:c r="B714" s="2" t="str">
        <x:v>2003 / transformer_residual</x:v>
      </x:c>
      <x:c r="C714" s="2" t="n">
        <x:v>2</x:v>
      </x:c>
      <x:c r="D714" s="14" t="n">
        <x:v>0.03378798676870335</x:v>
      </x:c>
      <x:c r="E714" s="14"/>
      <x:c r="F714" s="14"/>
      <x:c r="G714" s="14"/>
      <x:c r="H714" s="14" t="n">
        <x:v>43.98787533107679</x:v>
      </x:c>
      <x:c r="I714" s="2" t="str">
        <x:v>S078</x:v>
      </x:c>
    </x:row>
    <x:row r="715" ht="27" customHeight="1">
      <x:c r="A715" s="2" t="str">
        <x:v>forecast_residual_2003_seed42</x:v>
      </x:c>
      <x:c r="B715" s="2" t="str">
        <x:v>2003 / transformer_residual</x:v>
      </x:c>
      <x:c r="C715" s="2" t="n">
        <x:v>3</x:v>
      </x:c>
      <x:c r="D715" s="14" t="n">
        <x:v>0.03288563028894989</x:v>
      </x:c>
      <x:c r="E715" s="14"/>
      <x:c r="F715" s="14"/>
      <x:c r="G715" s="14"/>
      <x:c r="H715" s="14" t="n">
        <x:v>39.852976349997334</x:v>
      </x:c>
      <x:c r="I715" s="2" t="str">
        <x:v>S078</x:v>
      </x:c>
    </x:row>
    <x:row r="716" ht="27" customHeight="1">
      <x:c r="A716" s="2" t="str">
        <x:v>forecast_residual_2003_seed42</x:v>
      </x:c>
      <x:c r="B716" s="2" t="str">
        <x:v>2003 / transformer_residual</x:v>
      </x:c>
      <x:c r="C716" s="2" t="n">
        <x:v>4</x:v>
      </x:c>
      <x:c r="D716" s="14" t="n">
        <x:v>0.03256104239429365</x:v>
      </x:c>
      <x:c r="E716" s="14"/>
      <x:c r="F716" s="14"/>
      <x:c r="G716" s="14"/>
      <x:c r="H716" s="14" t="n">
        <x:v>42.79468186595477</x:v>
      </x:c>
      <x:c r="I716" s="2" t="str">
        <x:v>S078</x:v>
      </x:c>
    </x:row>
    <x:row r="717" ht="27" customHeight="1">
      <x:c r="A717" s="2" t="str">
        <x:v>forecast_residual_2003_seed42</x:v>
      </x:c>
      <x:c r="B717" s="2" t="str">
        <x:v>2003 / transformer_residual</x:v>
      </x:c>
      <x:c r="C717" s="2" t="n">
        <x:v>5</x:v>
      </x:c>
      <x:c r="D717" s="14" t="n">
        <x:v>0.03235763576040622</x:v>
      </x:c>
      <x:c r="E717" s="14"/>
      <x:c r="F717" s="14"/>
      <x:c r="G717" s="14" t="n">
        <x:v>0.05262664078219493</x:v>
      </x:c>
      <x:c r="H717" s="14" t="n">
        <x:v>43.62858219793998</x:v>
      </x:c>
      <x:c r="I717" s="2" t="str">
        <x:v>S078</x:v>
      </x:c>
    </x:row>
    <x:row r="718" ht="27" customHeight="1">
      <x:c r="A718" s="2" t="str">
        <x:v>forecast_residual_2003_seed42</x:v>
      </x:c>
      <x:c r="B718" s="2" t="str">
        <x:v>2003 / transformer_residual</x:v>
      </x:c>
      <x:c r="C718" s="2" t="n">
        <x:v>6</x:v>
      </x:c>
      <x:c r="D718" s="14" t="n">
        <x:v>0.0322246885258199</x:v>
      </x:c>
      <x:c r="E718" s="14"/>
      <x:c r="F718" s="14"/>
      <x:c r="G718" s="14"/>
      <x:c r="H718" s="14" t="n">
        <x:v>43.57769116398413</x:v>
      </x:c>
      <x:c r="I718" s="2" t="str">
        <x:v>S078</x:v>
      </x:c>
    </x:row>
    <x:row r="719" ht="27" customHeight="1">
      <x:c r="A719" s="2" t="str">
        <x:v>forecast_residual_2003_seed42</x:v>
      </x:c>
      <x:c r="B719" s="2" t="str">
        <x:v>2003 / transformer_residual</x:v>
      </x:c>
      <x:c r="C719" s="2" t="n">
        <x:v>7</x:v>
      </x:c>
      <x:c r="D719" s="14" t="n">
        <x:v>0.03213799003897726</x:v>
      </x:c>
      <x:c r="E719" s="14"/>
      <x:c r="F719" s="14"/>
      <x:c r="G719" s="14"/>
      <x:c r="H719" s="14" t="n">
        <x:v>42.901540377992205</x:v>
      </x:c>
      <x:c r="I719" s="2" t="str">
        <x:v>S078</x:v>
      </x:c>
    </x:row>
    <x:row r="720" ht="27" customHeight="1">
      <x:c r="A720" s="2" t="str">
        <x:v>forecast_residual_2003_seed42</x:v>
      </x:c>
      <x:c r="B720" s="2" t="str">
        <x:v>2003 / transformer_residual</x:v>
      </x:c>
      <x:c r="C720" s="2" t="n">
        <x:v>8</x:v>
      </x:c>
      <x:c r="D720" s="14" t="n">
        <x:v>0.03205020439832017</x:v>
      </x:c>
      <x:c r="E720" s="14"/>
      <x:c r="F720" s="14"/>
      <x:c r="G720" s="14"/>
      <x:c r="H720" s="14" t="n">
        <x:v>41.91277071798686</x:v>
      </x:c>
      <x:c r="I720" s="2" t="str">
        <x:v>S078</x:v>
      </x:c>
    </x:row>
    <x:row r="721" ht="27" customHeight="1">
      <x:c r="A721" s="2" t="str">
        <x:v>forecast_residual_2003_seed42</x:v>
      </x:c>
      <x:c r="B721" s="2" t="str">
        <x:v>2003 / transformer_residual</x:v>
      </x:c>
      <x:c r="C721" s="2" t="n">
        <x:v>9</x:v>
      </x:c>
      <x:c r="D721" s="14" t="n">
        <x:v>0.03198444106292037</x:v>
      </x:c>
      <x:c r="E721" s="14"/>
      <x:c r="F721" s="14"/>
      <x:c r="G721" s="14"/>
      <x:c r="H721" s="14" t="n">
        <x:v>44.16107169899624</x:v>
      </x:c>
      <x:c r="I721" s="2" t="str">
        <x:v>S078</x:v>
      </x:c>
    </x:row>
    <x:row r="722" ht="27" customHeight="1">
      <x:c r="A722" s="2" t="str">
        <x:v>forecast_residual_2003_seed42</x:v>
      </x:c>
      <x:c r="B722" s="2" t="str">
        <x:v>2003 / transformer_residual</x:v>
      </x:c>
      <x:c r="C722" s="2" t="n">
        <x:v>10</x:v>
      </x:c>
      <x:c r="D722" s="14" t="n">
        <x:v>0.03193239783097236</x:v>
      </x:c>
      <x:c r="E722" s="14"/>
      <x:c r="F722" s="14"/>
      <x:c r="G722" s="14" t="n">
        <x:v>0.05494014109961256</x:v>
      </x:c>
      <x:c r="H722" s="14" t="n">
        <x:v>45.28919557307381</x:v>
      </x:c>
      <x:c r="I722" s="2" t="str">
        <x:v>S078</x:v>
      </x:c>
    </x:row>
    <x:row r="723" ht="27" customHeight="1">
      <x:c r="A723" s="2" t="str">
        <x:v>forecast_residual_2003_seed42</x:v>
      </x:c>
      <x:c r="B723" s="2" t="str">
        <x:v>2003 / transformer_residual</x:v>
      </x:c>
      <x:c r="C723" s="2" t="n">
        <x:v>11</x:v>
      </x:c>
      <x:c r="D723" s="14" t="n">
        <x:v>0.03188125094483689</x:v>
      </x:c>
      <x:c r="E723" s="14"/>
      <x:c r="F723" s="14"/>
      <x:c r="G723" s="14"/>
      <x:c r="H723" s="14" t="n">
        <x:v>44.05669012700673</x:v>
      </x:c>
      <x:c r="I723" s="2" t="str">
        <x:v>S078</x:v>
      </x:c>
    </x:row>
    <x:row r="724" ht="27" customHeight="1">
      <x:c r="A724" s="2" t="str">
        <x:v>forecast_residual_2003_seed42</x:v>
      </x:c>
      <x:c r="B724" s="2" t="str">
        <x:v>2003 / transformer_residual</x:v>
      </x:c>
      <x:c r="C724" s="2" t="n">
        <x:v>12</x:v>
      </x:c>
      <x:c r="D724" s="14" t="n">
        <x:v>0.031840286781717374</x:v>
      </x:c>
      <x:c r="E724" s="14"/>
      <x:c r="F724" s="14"/>
      <x:c r="G724" s="14"/>
      <x:c r="H724" s="14" t="n">
        <x:v>41.838322574971244</x:v>
      </x:c>
      <x:c r="I724" s="2" t="str">
        <x:v>S078</x:v>
      </x:c>
    </x:row>
    <x:row r="725" ht="27" customHeight="1">
      <x:c r="A725" s="2" t="str">
        <x:v>forecast_residual_2003_seed42</x:v>
      </x:c>
      <x:c r="B725" s="2" t="str">
        <x:v>2003 / transformer_residual</x:v>
      </x:c>
      <x:c r="C725" s="2" t="n">
        <x:v>13</x:v>
      </x:c>
      <x:c r="D725" s="14" t="n">
        <x:v>0.03179540447248214</x:v>
      </x:c>
      <x:c r="E725" s="14"/>
      <x:c r="F725" s="14"/>
      <x:c r="G725" s="14"/>
      <x:c r="H725" s="14" t="n">
        <x:v>45.63540668098722</x:v>
      </x:c>
      <x:c r="I725" s="2" t="str">
        <x:v>S078</x:v>
      </x:c>
    </x:row>
    <x:row r="726" ht="27" customHeight="1">
      <x:c r="A726" s="2" t="str">
        <x:v>forecast_residual_2003_seed42</x:v>
      </x:c>
      <x:c r="B726" s="2" t="str">
        <x:v>2003 / transformer_residual</x:v>
      </x:c>
      <x:c r="C726" s="2" t="n">
        <x:v>14</x:v>
      </x:c>
      <x:c r="D726" s="14" t="n">
        <x:v>0.031769253891257156</x:v>
      </x:c>
      <x:c r="E726" s="14"/>
      <x:c r="F726" s="14"/>
      <x:c r="G726" s="14"/>
      <x:c r="H726" s="14" t="n">
        <x:v>42.94290545093827</x:v>
      </x:c>
      <x:c r="I726" s="2" t="str">
        <x:v>S078</x:v>
      </x:c>
    </x:row>
    <x:row r="727" ht="27" customHeight="1">
      <x:c r="A727" s="2" t="str">
        <x:v>forecast_residual_2003_seed42</x:v>
      </x:c>
      <x:c r="B727" s="2" t="str">
        <x:v>2003 / transformer_residual</x:v>
      </x:c>
      <x:c r="C727" s="2" t="n">
        <x:v>15</x:v>
      </x:c>
      <x:c r="D727" s="14" t="n">
        <x:v>0.03173909201691939</x:v>
      </x:c>
      <x:c r="E727" s="14"/>
      <x:c r="F727" s="14"/>
      <x:c r="G727" s="14" t="n">
        <x:v>0.057466377021867514</x:v>
      </x:c>
      <x:c r="H727" s="14" t="n">
        <x:v>44.83168740198016</x:v>
      </x:c>
      <x:c r="I727" s="2" t="str">
        <x:v>S078</x:v>
      </x:c>
    </x:row>
    <x:row r="728" ht="27" customHeight="1">
      <x:c r="A728" s="2" t="str">
        <x:v>forecast_residual_2003_seed42</x:v>
      </x:c>
      <x:c r="B728" s="2" t="str">
        <x:v>2003 / transformer_residual</x:v>
      </x:c>
      <x:c r="C728" s="2" t="n">
        <x:v>16</x:v>
      </x:c>
      <x:c r="D728" s="14" t="n">
        <x:v>0.03171754464219032</x:v>
      </x:c>
      <x:c r="E728" s="14"/>
      <x:c r="F728" s="14"/>
      <x:c r="G728" s="14"/>
      <x:c r="H728" s="14" t="n">
        <x:v>42.9251362150535</x:v>
      </x:c>
      <x:c r="I728" s="2" t="str">
        <x:v>S078</x:v>
      </x:c>
    </x:row>
    <x:row r="729" ht="27" customHeight="1">
      <x:c r="A729" s="2" t="str">
        <x:v>forecast_residual_2003_seed42</x:v>
      </x:c>
      <x:c r="B729" s="2" t="str">
        <x:v>2003 / transformer_residual</x:v>
      </x:c>
      <x:c r="C729" s="2" t="n">
        <x:v>17</x:v>
      </x:c>
      <x:c r="D729" s="14" t="n">
        <x:v>0.031681369205263925</x:v>
      </x:c>
      <x:c r="E729" s="14"/>
      <x:c r="F729" s="14"/>
      <x:c r="G729" s="14"/>
      <x:c r="H729" s="14" t="n">
        <x:v>42.763125187018886</x:v>
      </x:c>
      <x:c r="I729" s="2" t="str">
        <x:v>S078</x:v>
      </x:c>
    </x:row>
    <x:row r="730" ht="27" customHeight="1">
      <x:c r="A730" s="2" t="str">
        <x:v>forecast_residual_2003_seed42</x:v>
      </x:c>
      <x:c r="B730" s="2" t="str">
        <x:v>2003 / transformer_residual</x:v>
      </x:c>
      <x:c r="C730" s="2" t="n">
        <x:v>18</x:v>
      </x:c>
      <x:c r="D730" s="14" t="n">
        <x:v>0.03165975301518219</x:v>
      </x:c>
      <x:c r="E730" s="14"/>
      <x:c r="F730" s="14"/>
      <x:c r="G730" s="14"/>
      <x:c r="H730" s="14" t="n">
        <x:v>39.785449579008855</x:v>
      </x:c>
      <x:c r="I730" s="2" t="str">
        <x:v>S078</x:v>
      </x:c>
    </x:row>
    <x:row r="731" ht="27" customHeight="1">
      <x:c r="A731" s="2" t="str">
        <x:v>forecast_residual_2003_seed42</x:v>
      </x:c>
      <x:c r="B731" s="2" t="str">
        <x:v>2003 / transformer_residual</x:v>
      </x:c>
      <x:c r="C731" s="2" t="n">
        <x:v>19</x:v>
      </x:c>
      <x:c r="D731" s="14" t="n">
        <x:v>0.03164230889001591</x:v>
      </x:c>
      <x:c r="E731" s="14"/>
      <x:c r="F731" s="14"/>
      <x:c r="G731" s="14"/>
      <x:c r="H731" s="14" t="n">
        <x:v>44.6832949629752</x:v>
      </x:c>
      <x:c r="I731" s="2" t="str">
        <x:v>S078</x:v>
      </x:c>
    </x:row>
    <x:row r="732" ht="27" customHeight="1">
      <x:c r="A732" s="2" t="str">
        <x:v>forecast_residual_2003_seed42</x:v>
      </x:c>
      <x:c r="B732" s="2" t="str">
        <x:v>2003 / transformer_residual</x:v>
      </x:c>
      <x:c r="C732" s="2" t="n">
        <x:v>20</x:v>
      </x:c>
      <x:c r="D732" s="14" t="n">
        <x:v>0.0316168106986885</x:v>
      </x:c>
      <x:c r="E732" s="14"/>
      <x:c r="F732" s="14"/>
      <x:c r="G732" s="14" t="n">
        <x:v>0.05494014109961256</x:v>
      </x:c>
      <x:c r="H732" s="14" t="n">
        <x:v>44.33632347395178</x:v>
      </x:c>
      <x:c r="I732" s="2" t="str">
        <x:v>S078</x:v>
      </x:c>
    </x:row>
    <x:row r="733" ht="27" customHeight="1">
      <x:c r="A733" s="2" t="str">
        <x:v>forecast_residual_2003_seed42</x:v>
      </x:c>
      <x:c r="B733" s="2" t="str">
        <x:v>2003 / transformer_residual</x:v>
      </x:c>
      <x:c r="C733" s="2" t="n">
        <x:v>21</x:v>
      </x:c>
      <x:c r="D733" s="14" t="n">
        <x:v>0.031603784043619035</x:v>
      </x:c>
      <x:c r="E733" s="14"/>
      <x:c r="F733" s="14"/>
      <x:c r="G733" s="14"/>
      <x:c r="H733" s="14" t="n">
        <x:v>43.91392811096739</x:v>
      </x:c>
      <x:c r="I733" s="2" t="str">
        <x:v>S078</x:v>
      </x:c>
    </x:row>
    <x:row r="734" ht="27" customHeight="1">
      <x:c r="A734" s="2" t="str">
        <x:v>forecast_residual_2003_seed42</x:v>
      </x:c>
      <x:c r="B734" s="2" t="str">
        <x:v>2003 / transformer_residual</x:v>
      </x:c>
      <x:c r="C734" s="2" t="n">
        <x:v>22</x:v>
      </x:c>
      <x:c r="D734" s="14" t="n">
        <x:v>0.031582576882814684</x:v>
      </x:c>
      <x:c r="E734" s="14"/>
      <x:c r="F734" s="14"/>
      <x:c r="G734" s="14"/>
      <x:c r="H734" s="14" t="n">
        <x:v>40.94256253691856</x:v>
      </x:c>
      <x:c r="I734" s="2" t="str">
        <x:v>S078</x:v>
      </x:c>
    </x:row>
    <x:row r="735" ht="27" customHeight="1">
      <x:c r="A735" s="2" t="str">
        <x:v>forecast_residual_2003_seed42</x:v>
      </x:c>
      <x:c r="B735" s="2" t="str">
        <x:v>2003 / transformer_residual</x:v>
      </x:c>
      <x:c r="C735" s="2" t="n">
        <x:v>23</x:v>
      </x:c>
      <x:c r="D735" s="14" t="n">
        <x:v>0.03156913031235875</x:v>
      </x:c>
      <x:c r="E735" s="14"/>
      <x:c r="F735" s="14"/>
      <x:c r="G735" s="14"/>
      <x:c r="H735" s="14" t="n">
        <x:v>42.731908672023565</x:v>
      </x:c>
      <x:c r="I735" s="2" t="str">
        <x:v>S078</x:v>
      </x:c>
    </x:row>
    <x:row r="736" ht="27" customHeight="1">
      <x:c r="A736" s="2" t="str">
        <x:v>forecast_residual_2003_seed42</x:v>
      </x:c>
      <x:c r="B736" s="2" t="str">
        <x:v>2003 / transformer_residual</x:v>
      </x:c>
      <x:c r="C736" s="2" t="n">
        <x:v>24</x:v>
      </x:c>
      <x:c r="D736" s="14" t="n">
        <x:v>0.03155183265791435</x:v>
      </x:c>
      <x:c r="E736" s="14"/>
      <x:c r="F736" s="14"/>
      <x:c r="G736" s="14"/>
      <x:c r="H736" s="14" t="n">
        <x:v>43.234840366989374</x:v>
      </x:c>
      <x:c r="I736" s="2" t="str">
        <x:v>S078</x:v>
      </x:c>
    </x:row>
    <x:row r="737" ht="27" customHeight="1">
      <x:c r="A737" s="2" t="str">
        <x:v>forecast_residual_2003_seed42</x:v>
      </x:c>
      <x:c r="B737" s="2" t="str">
        <x:v>2003 / transformer_residual</x:v>
      </x:c>
      <x:c r="C737" s="2" t="n">
        <x:v>25</x:v>
      </x:c>
      <x:c r="D737" s="14" t="n">
        <x:v>0.03153779276281709</x:v>
      </x:c>
      <x:c r="E737" s="14"/>
      <x:c r="F737" s="14"/>
      <x:c r="G737" s="14" t="n">
        <x:v>0.05494014109961256</x:v>
      </x:c>
      <x:c r="H737" s="14" t="n">
        <x:v>47.21143694606144</x:v>
      </x:c>
      <x:c r="I737" s="2" t="str">
        <x:v>S078</x:v>
      </x:c>
    </x:row>
    <x:row r="738" ht="27" customHeight="1">
      <x:c r="A738" s="2" t="str">
        <x:v>forecast_residual_2003_seed42</x:v>
      </x:c>
      <x:c r="B738" s="2" t="str">
        <x:v>2003 / transformer_residual</x:v>
      </x:c>
      <x:c r="C738" s="2" t="n">
        <x:v>26</x:v>
      </x:c>
      <x:c r="D738" s="14" t="n">
        <x:v>0.03152563261203853</x:v>
      </x:c>
      <x:c r="E738" s="14"/>
      <x:c r="F738" s="14"/>
      <x:c r="G738" s="14"/>
      <x:c r="H738" s="14" t="n">
        <x:v>41.594779386068694</x:v>
      </x:c>
      <x:c r="I738" s="2" t="str">
        <x:v>S078</x:v>
      </x:c>
    </x:row>
    <x:row r="739" ht="27" customHeight="1">
      <x:c r="A739" s="2" t="str">
        <x:v>forecast_residual_2003_seed42</x:v>
      </x:c>
      <x:c r="B739" s="2" t="str">
        <x:v>2003 / transformer_residual</x:v>
      </x:c>
      <x:c r="C739" s="2" t="n">
        <x:v>27</x:v>
      </x:c>
      <x:c r="D739" s="14" t="n">
        <x:v>0.03151055153730004</x:v>
      </x:c>
      <x:c r="E739" s="14"/>
      <x:c r="F739" s="14"/>
      <x:c r="G739" s="14"/>
      <x:c r="H739" s="14" t="n">
        <x:v>42.69546051102225</x:v>
      </x:c>
      <x:c r="I739" s="2" t="str">
        <x:v>S078</x:v>
      </x:c>
    </x:row>
    <x:row r="740" ht="27" customHeight="1">
      <x:c r="A740" s="2" t="str">
        <x:v>forecast_residual_2003_seed42</x:v>
      </x:c>
      <x:c r="B740" s="2" t="str">
        <x:v>2003 / transformer_residual</x:v>
      </x:c>
      <x:c r="C740" s="2" t="n">
        <x:v>28</x:v>
      </x:c>
      <x:c r="D740" s="14" t="n">
        <x:v>0.03150154321382134</x:v>
      </x:c>
      <x:c r="E740" s="14"/>
      <x:c r="F740" s="14"/>
      <x:c r="G740" s="14"/>
      <x:c r="H740" s="14" t="n">
        <x:v>44.436538798967376</x:v>
      </x:c>
      <x:c r="I740" s="2" t="str">
        <x:v>S078</x:v>
      </x:c>
    </x:row>
    <x:row r="741" ht="27" customHeight="1">
      <x:c r="A741" s="2" t="str">
        <x:v>forecast_residual_2003_seed42</x:v>
      </x:c>
      <x:c r="B741" s="2" t="str">
        <x:v>2003 / transformer_residual</x:v>
      </x:c>
      <x:c r="C741" s="2" t="n">
        <x:v>29</x:v>
      </x:c>
      <x:c r="D741" s="14" t="n">
        <x:v>0.03149400582129887</x:v>
      </x:c>
      <x:c r="E741" s="14"/>
      <x:c r="F741" s="14"/>
      <x:c r="G741" s="14"/>
      <x:c r="H741" s="14" t="n">
        <x:v>43.266693850047886</x:v>
      </x:c>
      <x:c r="I741" s="2" t="str">
        <x:v>S078</x:v>
      </x:c>
    </x:row>
    <x:row r="742" ht="27" customHeight="1">
      <x:c r="A742" s="2" t="str">
        <x:v>forecast_residual_2003_seed42</x:v>
      </x:c>
      <x:c r="B742" s="2" t="str">
        <x:v>2003 / transformer_residual</x:v>
      </x:c>
      <x:c r="C742" s="2" t="n">
        <x:v>30</x:v>
      </x:c>
      <x:c r="D742" s="14" t="n">
        <x:v>0.03148331920943923</x:v>
      </x:c>
      <x:c r="E742" s="14"/>
      <x:c r="F742" s="14"/>
      <x:c r="G742" s="14" t="n">
        <x:v>0.05494014109961256</x:v>
      </x:c>
      <x:c r="H742" s="14" t="n">
        <x:v>47.05906193098053</x:v>
      </x:c>
      <x:c r="I742" s="2" t="str">
        <x:v>S078</x:v>
      </x:c>
    </x:row>
    <x:row r="743" ht="27" customHeight="1">
      <x:c r="A743" s="2" t="str">
        <x:v>forecast_residual_2003_seed42</x:v>
      </x:c>
      <x:c r="B743" s="2" t="str">
        <x:v>2003 / transformer_residual</x:v>
      </x:c>
      <x:c r="C743" s="2" t="n">
        <x:v>31</x:v>
      </x:c>
      <x:c r="D743" s="14" t="n">
        <x:v>0.031470519830396275</x:v>
      </x:c>
      <x:c r="E743" s="14"/>
      <x:c r="F743" s="14"/>
      <x:c r="G743" s="14"/>
      <x:c r="H743" s="14" t="n">
        <x:v>45.225920415017754</x:v>
      </x:c>
      <x:c r="I743" s="2" t="str">
        <x:v>S078</x:v>
      </x:c>
    </x:row>
    <x:row r="744" ht="27" customHeight="1">
      <x:c r="A744" s="2" t="str">
        <x:v>forecast_residual_2003_seed42</x:v>
      </x:c>
      <x:c r="B744" s="2" t="str">
        <x:v>2003 / transformer_residual</x:v>
      </x:c>
      <x:c r="C744" s="2" t="n">
        <x:v>32</x:v>
      </x:c>
      <x:c r="D744" s="14" t="n">
        <x:v>0.03146713702635624</x:v>
      </x:c>
      <x:c r="E744" s="14"/>
      <x:c r="F744" s="14"/>
      <x:c r="G744" s="14"/>
      <x:c r="H744" s="14" t="n">
        <x:v>45.46309309301432</x:v>
      </x:c>
      <x:c r="I744" s="2" t="str">
        <x:v>S078</x:v>
      </x:c>
    </x:row>
    <x:row r="745" ht="27" customHeight="1">
      <x:c r="A745" s="2" t="str">
        <x:v>forecast_residual_2003_seed42</x:v>
      </x:c>
      <x:c r="B745" s="2" t="str">
        <x:v>2003 / transformer_residual</x:v>
      </x:c>
      <x:c r="C745" s="2" t="n">
        <x:v>33</x:v>
      </x:c>
      <x:c r="D745" s="14" t="n">
        <x:v>0.03145441504108118</x:v>
      </x:c>
      <x:c r="E745" s="14"/>
      <x:c r="F745" s="14"/>
      <x:c r="G745" s="14"/>
      <x:c r="H745" s="14" t="n">
        <x:v>40.57944814802613</x:v>
      </x:c>
      <x:c r="I745" s="2" t="str">
        <x:v>S078</x:v>
      </x:c>
    </x:row>
    <x:row r="746" ht="27" customHeight="1">
      <x:c r="A746" s="2" t="str">
        <x:v>forecast_residual_2003_seed42</x:v>
      </x:c>
      <x:c r="B746" s="2" t="str">
        <x:v>2003 / transformer_residual</x:v>
      </x:c>
      <x:c r="C746" s="2" t="n">
        <x:v>34</x:v>
      </x:c>
      <x:c r="D746" s="14" t="n">
        <x:v>0.03145031923726022</x:v>
      </x:c>
      <x:c r="E746" s="14"/>
      <x:c r="F746" s="14"/>
      <x:c r="G746" s="14"/>
      <x:c r="H746" s="14" t="n">
        <x:v>42.16324838495348</x:v>
      </x:c>
      <x:c r="I746" s="2" t="str">
        <x:v>S078</x:v>
      </x:c>
    </x:row>
    <x:row r="747" ht="27" customHeight="1">
      <x:c r="A747" s="2" t="str">
        <x:v>forecast_residual_2003_seed42</x:v>
      </x:c>
      <x:c r="B747" s="2" t="str">
        <x:v>2003 / transformer_residual</x:v>
      </x:c>
      <x:c r="C747" s="2" t="n">
        <x:v>35</x:v>
      </x:c>
      <x:c r="D747" s="14" t="n">
        <x:v>0.031447209831113675</x:v>
      </x:c>
      <x:c r="E747" s="14"/>
      <x:c r="F747" s="14"/>
      <x:c r="G747" s="14" t="n">
        <x:v>0.057466377021867514</x:v>
      </x:c>
      <x:c r="H747" s="14" t="n">
        <x:v>40.94919895194471</x:v>
      </x:c>
      <x:c r="I747" s="2" t="str">
        <x:v>S078</x:v>
      </x:c>
    </x:row>
    <x:row r="748" ht="27" customHeight="1">
      <x:c r="A748" s="2" t="str">
        <x:v>forecast_residual_2003_seed42</x:v>
      </x:c>
      <x:c r="B748" s="2" t="str">
        <x:v>2003 / transformer_residual</x:v>
      </x:c>
      <x:c r="C748" s="2" t="n">
        <x:v>36</x:v>
      </x:c>
      <x:c r="D748" s="14" t="n">
        <x:v>0.0314401572978883</x:v>
      </x:c>
      <x:c r="E748" s="14"/>
      <x:c r="F748" s="14"/>
      <x:c r="G748" s="14"/>
      <x:c r="H748" s="14" t="n">
        <x:v>39.653078980976716</x:v>
      </x:c>
      <x:c r="I748" s="2" t="str">
        <x:v>S078</x:v>
      </x:c>
    </x:row>
    <x:row r="749" ht="27" customHeight="1">
      <x:c r="A749" s="2" t="str">
        <x:v>forecast_residual_2003_seed42</x:v>
      </x:c>
      <x:c r="B749" s="2" t="str">
        <x:v>2003 / transformer_residual</x:v>
      </x:c>
      <x:c r="C749" s="2" t="n">
        <x:v>37</x:v>
      </x:c>
      <x:c r="D749" s="14" t="n">
        <x:v>0.03143715422752221</x:v>
      </x:c>
      <x:c r="E749" s="14"/>
      <x:c r="F749" s="14"/>
      <x:c r="G749" s="14"/>
      <x:c r="H749" s="14" t="n">
        <x:v>42.7800445179455</x:v>
      </x:c>
      <x:c r="I749" s="2" t="str">
        <x:v>S078</x:v>
      </x:c>
    </x:row>
    <x:row r="750" ht="27" customHeight="1">
      <x:c r="A750" s="2" t="str">
        <x:v>forecast_residual_2003_seed42</x:v>
      </x:c>
      <x:c r="B750" s="2" t="str">
        <x:v>2003 / transformer_residual</x:v>
      </x:c>
      <x:c r="C750" s="2" t="n">
        <x:v>38</x:v>
      </x:c>
      <x:c r="D750" s="14" t="n">
        <x:v>0.03143141864892702</x:v>
      </x:c>
      <x:c r="E750" s="14"/>
      <x:c r="F750" s="14"/>
      <x:c r="G750" s="14"/>
      <x:c r="H750" s="14" t="n">
        <x:v>42.90432624996174</x:v>
      </x:c>
      <x:c r="I750" s="2" t="str">
        <x:v>S078</x:v>
      </x:c>
    </x:row>
    <x:row r="751" ht="27" customHeight="1">
      <x:c r="A751" s="2" t="str">
        <x:v>forecast_residual_2003_seed42</x:v>
      </x:c>
      <x:c r="B751" s="2" t="str">
        <x:v>2003 / transformer_residual</x:v>
      </x:c>
      <x:c r="C751" s="2" t="n">
        <x:v>39</x:v>
      </x:c>
      <x:c r="D751" s="14" t="n">
        <x:v>0.0314301480051944</x:v>
      </x:c>
      <x:c r="E751" s="14"/>
      <x:c r="F751" s="14"/>
      <x:c r="G751" s="14"/>
      <x:c r="H751" s="14" t="n">
        <x:v>46.08802584698424</x:v>
      </x:c>
      <x:c r="I751" s="2" t="str">
        <x:v>S078</x:v>
      </x:c>
    </x:row>
    <x:row r="752" ht="27" customHeight="1">
      <x:c r="A752" s="2" t="str">
        <x:v>forecast_residual_2003_seed42</x:v>
      </x:c>
      <x:c r="B752" s="2" t="str">
        <x:v>2003 / transformer_residual</x:v>
      </x:c>
      <x:c r="C752" s="2" t="n">
        <x:v>40</x:v>
      </x:c>
      <x:c r="D752" s="14" t="n">
        <x:v>0.031427779708139036</x:v>
      </x:c>
      <x:c r="E752" s="14"/>
      <x:c r="F752" s="14"/>
      <x:c r="G752" s="14" t="n">
        <x:v>0.057466377021867514</x:v>
      </x:c>
      <x:c r="H752" s="14" t="n">
        <x:v>44.73343869205564</x:v>
      </x:c>
      <x:c r="I752" s="2" t="str">
        <x:v>S078</x:v>
      </x:c>
    </x:row>
    <x:row r="753" ht="27" customHeight="1">
      <x:c r="A753" s="2" t="str">
        <x:v>ch40_47_train2000_2005_seed42</x:v>
      </x:c>
      <x:c r="B753" s="2" t="str">
        <x:v>full_period</x:v>
      </x:c>
      <x:c r="C753" s="2" t="n">
        <x:v>1</x:v>
      </x:c>
      <x:c r="D753" s="14" t="n">
        <x:v>3.3127806113329896</x:v>
      </x:c>
      <x:c r="E753" s="14"/>
      <x:c r="F753" s="14"/>
      <x:c r="G753" s="14"/>
      <x:c r="H753" s="14"/>
      <x:c r="I753" s="2" t="str">
        <x:v>S083</x:v>
      </x:c>
    </x:row>
    <x:row r="754" ht="27" customHeight="1">
      <x:c r="A754" s="2" t="str">
        <x:v>ch40_47_train2000_2005_seed42</x:v>
      </x:c>
      <x:c r="B754" s="2" t="str">
        <x:v>full_period</x:v>
      </x:c>
      <x:c r="C754" s="2" t="n">
        <x:v>2</x:v>
      </x:c>
      <x:c r="D754" s="14" t="n">
        <x:v>1.8786528218394998</x:v>
      </x:c>
      <x:c r="E754" s="14"/>
      <x:c r="F754" s="14"/>
      <x:c r="G754" s="14"/>
      <x:c r="H754" s="14"/>
      <x:c r="I754" s="2" t="str">
        <x:v>S083</x:v>
      </x:c>
    </x:row>
    <x:row r="755" ht="27" customHeight="1">
      <x:c r="A755" s="2" t="str">
        <x:v>ch40_47_train2000_2005_seed42</x:v>
      </x:c>
      <x:c r="B755" s="2" t="str">
        <x:v>full_period</x:v>
      </x:c>
      <x:c r="C755" s="2" t="n">
        <x:v>3</x:v>
      </x:c>
      <x:c r="D755" s="14" t="n">
        <x:v>1.5552819901836854</x:v>
      </x:c>
      <x:c r="E755" s="14"/>
      <x:c r="F755" s="14"/>
      <x:c r="G755" s="14"/>
      <x:c r="H755" s="14"/>
      <x:c r="I755" s="2" t="str">
        <x:v>S083</x:v>
      </x:c>
    </x:row>
    <x:row r="756" ht="27" customHeight="1">
      <x:c r="A756" s="2" t="str">
        <x:v>ch40_47_train2000_2005_seed42</x:v>
      </x:c>
      <x:c r="B756" s="2" t="str">
        <x:v>full_period</x:v>
      </x:c>
      <x:c r="C756" s="2" t="n">
        <x:v>4</x:v>
      </x:c>
      <x:c r="D756" s="14" t="n">
        <x:v>1.4058059805796448</x:v>
      </x:c>
      <x:c r="E756" s="14"/>
      <x:c r="F756" s="14"/>
      <x:c r="G756" s="14"/>
      <x:c r="H756" s="14"/>
      <x:c r="I756" s="2" t="str">
        <x:v>S083</x:v>
      </x:c>
    </x:row>
    <x:row r="757" ht="27" customHeight="1">
      <x:c r="A757" s="2" t="str">
        <x:v>ch40_47_train2000_2005_seed42</x:v>
      </x:c>
      <x:c r="B757" s="2" t="str">
        <x:v>full_period</x:v>
      </x:c>
      <x:c r="C757" s="2" t="n">
        <x:v>5</x:v>
      </x:c>
      <x:c r="D757" s="14" t="n">
        <x:v>1.3113608538225836</x:v>
      </x:c>
      <x:c r="E757" s="14"/>
      <x:c r="F757" s="14"/>
      <x:c r="G757" s="14" t="n">
        <x:v>0.7691864885759299</x:v>
      </x:c>
      <x:c r="H757" s="14"/>
      <x:c r="I757" s="2" t="str">
        <x:v>S083</x:v>
      </x:c>
    </x:row>
    <x:row r="758" ht="27" customHeight="1">
      <x:c r="A758" s="2" t="str">
        <x:v>ch40_47_train2000_2005_seed42</x:v>
      </x:c>
      <x:c r="B758" s="2" t="str">
        <x:v>full_period</x:v>
      </x:c>
      <x:c r="C758" s="2" t="n">
        <x:v>6</x:v>
      </x:c>
      <x:c r="D758" s="14" t="n">
        <x:v>1.2453533700235684</x:v>
      </x:c>
      <x:c r="E758" s="14"/>
      <x:c r="F758" s="14"/>
      <x:c r="G758" s="14"/>
      <x:c r="H758" s="14"/>
      <x:c r="I758" s="2" t="str">
        <x:v>S083</x:v>
      </x:c>
    </x:row>
    <x:row r="759" ht="27" customHeight="1">
      <x:c r="A759" s="2" t="str">
        <x:v>ch40_47_train2000_2005_seed42</x:v>
      </x:c>
      <x:c r="B759" s="2" t="str">
        <x:v>full_period</x:v>
      </x:c>
      <x:c r="C759" s="2" t="n">
        <x:v>7</x:v>
      </x:c>
      <x:c r="D759" s="14" t="n">
        <x:v>1.1946344877654784</x:v>
      </x:c>
      <x:c r="E759" s="14"/>
      <x:c r="F759" s="14"/>
      <x:c r="G759" s="14"/>
      <x:c r="H759" s="14"/>
      <x:c r="I759" s="2" t="str">
        <x:v>S083</x:v>
      </x:c>
    </x:row>
    <x:row r="760" ht="27" customHeight="1">
      <x:c r="A760" s="2" t="str">
        <x:v>ch40_47_train2000_2005_seed42</x:v>
      </x:c>
      <x:c r="B760" s="2" t="str">
        <x:v>full_period</x:v>
      </x:c>
      <x:c r="C760" s="2" t="n">
        <x:v>8</x:v>
      </x:c>
      <x:c r="D760" s="14" t="n">
        <x:v>1.1535370796700577</x:v>
      </x:c>
      <x:c r="E760" s="14"/>
      <x:c r="F760" s="14"/>
      <x:c r="G760" s="14"/>
      <x:c r="H760" s="14"/>
      <x:c r="I760" s="2" t="str">
        <x:v>S083</x:v>
      </x:c>
    </x:row>
    <x:row r="761" ht="27" customHeight="1">
      <x:c r="A761" s="2" t="str">
        <x:v>ch40_47_train2000_2005_seed42</x:v>
      </x:c>
      <x:c r="B761" s="2" t="str">
        <x:v>full_period</x:v>
      </x:c>
      <x:c r="C761" s="2" t="n">
        <x:v>9</x:v>
      </x:c>
      <x:c r="D761" s="14" t="n">
        <x:v>1.1178401800694864</x:v>
      </x:c>
      <x:c r="E761" s="14"/>
      <x:c r="F761" s="14"/>
      <x:c r="G761" s="14"/>
      <x:c r="H761" s="14"/>
      <x:c r="I761" s="2" t="str">
        <x:v>S083</x:v>
      </x:c>
    </x:row>
    <x:row r="762" ht="27" customHeight="1">
      <x:c r="A762" s="2" t="str">
        <x:v>ch40_47_train2000_2005_seed42</x:v>
      </x:c>
      <x:c r="B762" s="2" t="str">
        <x:v>full_period</x:v>
      </x:c>
      <x:c r="C762" s="2" t="n">
        <x:v>10</x:v>
      </x:c>
      <x:c r="D762" s="14" t="n">
        <x:v>1.0839906032965463</x:v>
      </x:c>
      <x:c r="E762" s="14"/>
      <x:c r="F762" s="14"/>
      <x:c r="G762" s="14" t="n">
        <x:v>0.8821482657069778</x:v>
      </x:c>
      <x:c r="H762" s="14"/>
      <x:c r="I762" s="2" t="str">
        <x:v>S083</x:v>
      </x:c>
    </x:row>
    <x:row r="763" ht="27" customHeight="1">
      <x:c r="A763" s="2" t="str">
        <x:v>ch40_47_train2000_2005_seed42</x:v>
      </x:c>
      <x:c r="B763" s="2" t="str">
        <x:v>full_period</x:v>
      </x:c>
      <x:c r="C763" s="2" t="n">
        <x:v>11</x:v>
      </x:c>
      <x:c r="D763" s="14" t="n">
        <x:v>1.0723305333053055</x:v>
      </x:c>
      <x:c r="E763" s="14"/>
      <x:c r="F763" s="14"/>
      <x:c r="G763" s="14"/>
      <x:c r="H763" s="14"/>
      <x:c r="I763" s="2" t="str">
        <x:v>S083</x:v>
      </x:c>
    </x:row>
    <x:row r="764" ht="27" customHeight="1">
      <x:c r="A764" s="2" t="str">
        <x:v>ch40_47_train2000_2005_seed42</x:v>
      </x:c>
      <x:c r="B764" s="2" t="str">
        <x:v>full_period</x:v>
      </x:c>
      <x:c r="C764" s="2" t="n">
        <x:v>12</x:v>
      </x:c>
      <x:c r="D764" s="14" t="n">
        <x:v>1.0416292246813805</x:v>
      </x:c>
      <x:c r="E764" s="14"/>
      <x:c r="F764" s="14"/>
      <x:c r="G764" s="14"/>
      <x:c r="H764" s="14"/>
      <x:c r="I764" s="2" t="str">
        <x:v>S083</x:v>
      </x:c>
    </x:row>
    <x:row r="765" ht="27" customHeight="1">
      <x:c r="A765" s="2" t="str">
        <x:v>ch40_47_train2000_2005_seed42</x:v>
      </x:c>
      <x:c r="B765" s="2" t="str">
        <x:v>full_period</x:v>
      </x:c>
      <x:c r="C765" s="2" t="n">
        <x:v>13</x:v>
      </x:c>
      <x:c r="D765" s="14" t="n">
        <x:v>1.0219635464983685</x:v>
      </x:c>
      <x:c r="E765" s="14"/>
      <x:c r="F765" s="14"/>
      <x:c r="G765" s="14"/>
      <x:c r="H765" s="14"/>
      <x:c r="I765" s="2" t="str">
        <x:v>S083</x:v>
      </x:c>
    </x:row>
    <x:row r="766" ht="27" customHeight="1">
      <x:c r="A766" s="2" t="str">
        <x:v>ch40_47_train2000_2005_seed42</x:v>
      </x:c>
      <x:c r="B766" s="2" t="str">
        <x:v>full_period</x:v>
      </x:c>
      <x:c r="C766" s="2" t="n">
        <x:v>14</x:v>
      </x:c>
      <x:c r="D766" s="14" t="n">
        <x:v>1.0040975953047255</x:v>
      </x:c>
      <x:c r="E766" s="14"/>
      <x:c r="F766" s="14"/>
      <x:c r="G766" s="14"/>
      <x:c r="H766" s="14"/>
      <x:c r="I766" s="2" t="str">
        <x:v>S083</x:v>
      </x:c>
    </x:row>
    <x:row r="767" ht="27" customHeight="1">
      <x:c r="A767" s="2" t="str">
        <x:v>ch40_47_train2000_2005_seed42</x:v>
      </x:c>
      <x:c r="B767" s="2" t="str">
        <x:v>full_period</x:v>
      </x:c>
      <x:c r="C767" s="2" t="n">
        <x:v>15</x:v>
      </x:c>
      <x:c r="D767" s="14" t="n">
        <x:v>0.9891743863407694</x:v>
      </x:c>
      <x:c r="E767" s="14"/>
      <x:c r="F767" s="14"/>
      <x:c r="G767" s="14" t="n">
        <x:v>0.6665692230201045</x:v>
      </x:c>
      <x:c r="H767" s="14"/>
      <x:c r="I767" s="2" t="str">
        <x:v>S083</x:v>
      </x:c>
    </x:row>
    <x:row r="768" ht="27" customHeight="1">
      <x:c r="A768" s="2" t="str">
        <x:v>ch40_47_train2000_2005_seed42</x:v>
      </x:c>
      <x:c r="B768" s="2" t="str">
        <x:v>full_period</x:v>
      </x:c>
      <x:c r="C768" s="2" t="n">
        <x:v>16</x:v>
      </x:c>
      <x:c r="D768" s="14" t="n">
        <x:v>0.9739345521910835</x:v>
      </x:c>
      <x:c r="E768" s="14"/>
      <x:c r="F768" s="14"/>
      <x:c r="G768" s="14"/>
      <x:c r="H768" s="14"/>
      <x:c r="I768" s="2" t="str">
        <x:v>S083</x:v>
      </x:c>
    </x:row>
    <x:row r="769" ht="27" customHeight="1">
      <x:c r="A769" s="2" t="str">
        <x:v>ch40_47_train2000_2005_seed42</x:v>
      </x:c>
      <x:c r="B769" s="2" t="str">
        <x:v>full_period</x:v>
      </x:c>
      <x:c r="C769" s="2" t="n">
        <x:v>17</x:v>
      </x:c>
      <x:c r="D769" s="14" t="n">
        <x:v>0.9505770379761662</x:v>
      </x:c>
      <x:c r="E769" s="14"/>
      <x:c r="F769" s="14"/>
      <x:c r="G769" s="14"/>
      <x:c r="H769" s="14"/>
      <x:c r="I769" s="2" t="str">
        <x:v>S083</x:v>
      </x:c>
    </x:row>
    <x:row r="770" ht="27" customHeight="1">
      <x:c r="A770" s="2" t="str">
        <x:v>ch40_47_train2000_2005_seed42</x:v>
      </x:c>
      <x:c r="B770" s="2" t="str">
        <x:v>full_period</x:v>
      </x:c>
      <x:c r="C770" s="2" t="n">
        <x:v>18</x:v>
      </x:c>
      <x:c r="D770" s="14" t="n">
        <x:v>0.9392075529385128</x:v>
      </x:c>
      <x:c r="E770" s="14"/>
      <x:c r="F770" s="14"/>
      <x:c r="G770" s="14"/>
      <x:c r="H770" s="14"/>
      <x:c r="I770" s="2" t="str">
        <x:v>S083</x:v>
      </x:c>
    </x:row>
    <x:row r="771" ht="27" customHeight="1">
      <x:c r="A771" s="2" t="str">
        <x:v>ch40_47_train2000_2005_seed42</x:v>
      </x:c>
      <x:c r="B771" s="2" t="str">
        <x:v>full_period</x:v>
      </x:c>
      <x:c r="C771" s="2" t="n">
        <x:v>19</x:v>
      </x:c>
      <x:c r="D771" s="14" t="n">
        <x:v>0.9343029477262951</x:v>
      </x:c>
      <x:c r="E771" s="14"/>
      <x:c r="F771" s="14"/>
      <x:c r="G771" s="14"/>
      <x:c r="H771" s="14"/>
      <x:c r="I771" s="2" t="str">
        <x:v>S083</x:v>
      </x:c>
    </x:row>
    <x:row r="772" ht="27" customHeight="1">
      <x:c r="A772" s="2" t="str">
        <x:v>ch40_47_train2000_2005_seed42</x:v>
      </x:c>
      <x:c r="B772" s="2" t="str">
        <x:v>full_period</x:v>
      </x:c>
      <x:c r="C772" s="2" t="n">
        <x:v>20</x:v>
      </x:c>
      <x:c r="D772" s="14" t="n">
        <x:v>0.9141023536467701</x:v>
      </x:c>
      <x:c r="E772" s="14"/>
      <x:c r="F772" s="14"/>
      <x:c r="G772" s="14" t="n">
        <x:v>0.6817834294663381</x:v>
      </x:c>
      <x:c r="H772" s="14"/>
      <x:c r="I772" s="2" t="str">
        <x:v>S083</x:v>
      </x:c>
    </x:row>
    <x:row r="773" ht="27" customHeight="1">
      <x:c r="A773" s="2" t="str">
        <x:v>ch40_47_train2000_2005_seed42</x:v>
      </x:c>
      <x:c r="B773" s="2" t="str">
        <x:v>full_period</x:v>
      </x:c>
      <x:c r="C773" s="2" t="n">
        <x:v>21</x:v>
      </x:c>
      <x:c r="D773" s="14" t="n">
        <x:v>0.8973275694195941</x:v>
      </x:c>
      <x:c r="E773" s="14"/>
      <x:c r="F773" s="14"/>
      <x:c r="G773" s="14"/>
      <x:c r="H773" s="14"/>
      <x:c r="I773" s="2" t="str">
        <x:v>S083</x:v>
      </x:c>
    </x:row>
    <x:row r="774" ht="27" customHeight="1">
      <x:c r="A774" s="2" t="str">
        <x:v>ch40_47_train2000_2005_seed42</x:v>
      </x:c>
      <x:c r="B774" s="2" t="str">
        <x:v>full_period</x:v>
      </x:c>
      <x:c r="C774" s="2" t="n">
        <x:v>22</x:v>
      </x:c>
      <x:c r="D774" s="14" t="n">
        <x:v>0.8963414362538452</x:v>
      </x:c>
      <x:c r="E774" s="14"/>
      <x:c r="F774" s="14"/>
      <x:c r="G774" s="14"/>
      <x:c r="H774" s="14"/>
      <x:c r="I774" s="2" t="str">
        <x:v>S083</x:v>
      </x:c>
    </x:row>
    <x:row r="775" ht="27" customHeight="1">
      <x:c r="A775" s="2" t="str">
        <x:v>ch40_47_train2000_2005_seed42</x:v>
      </x:c>
      <x:c r="B775" s="2" t="str">
        <x:v>full_period</x:v>
      </x:c>
      <x:c r="C775" s="2" t="n">
        <x:v>23</x:v>
      </x:c>
      <x:c r="D775" s="14" t="n">
        <x:v>0.8846158434467544</x:v>
      </x:c>
      <x:c r="E775" s="14"/>
      <x:c r="F775" s="14"/>
      <x:c r="G775" s="14"/>
      <x:c r="H775" s="14"/>
      <x:c r="I775" s="2" t="str">
        <x:v>S083</x:v>
      </x:c>
    </x:row>
    <x:row r="776" ht="27" customHeight="1">
      <x:c r="A776" s="2" t="str">
        <x:v>ch40_47_train2000_2005_seed42</x:v>
      </x:c>
      <x:c r="B776" s="2" t="str">
        <x:v>full_period</x:v>
      </x:c>
      <x:c r="C776" s="2" t="n">
        <x:v>24</x:v>
      </x:c>
      <x:c r="D776" s="14" t="n">
        <x:v>0.8793181828544638</x:v>
      </x:c>
      <x:c r="E776" s="14"/>
      <x:c r="F776" s="14"/>
      <x:c r="G776" s="14"/>
      <x:c r="H776" s="14"/>
      <x:c r="I776" s="2" t="str">
        <x:v>S083</x:v>
      </x:c>
    </x:row>
    <x:row r="777" ht="27" customHeight="1">
      <x:c r="A777" s="2" t="str">
        <x:v>ch40_47_train2000_2005_seed42</x:v>
      </x:c>
      <x:c r="B777" s="2" t="str">
        <x:v>full_period</x:v>
      </x:c>
      <x:c r="C777" s="2" t="n">
        <x:v>25</x:v>
      </x:c>
      <x:c r="D777" s="14" t="n">
        <x:v>0.8638743843315034</x:v>
      </x:c>
      <x:c r="E777" s="14"/>
      <x:c r="F777" s="14"/>
      <x:c r="G777" s="14" t="n">
        <x:v>0.6576591961146434</x:v>
      </x:c>
      <x:c r="H777" s="14"/>
      <x:c r="I777" s="2" t="str">
        <x:v>S083</x:v>
      </x:c>
    </x:row>
    <x:row r="778" ht="27" customHeight="1">
      <x:c r="A778" s="2" t="str">
        <x:v>ch40_47_train2000_2005_seed42</x:v>
      </x:c>
      <x:c r="B778" s="2" t="str">
        <x:v>full_period</x:v>
      </x:c>
      <x:c r="C778" s="2" t="n">
        <x:v>26</x:v>
      </x:c>
      <x:c r="D778" s="14" t="n">
        <x:v>0.8561516634388636</x:v>
      </x:c>
      <x:c r="E778" s="14"/>
      <x:c r="F778" s="14"/>
      <x:c r="G778" s="14"/>
      <x:c r="H778" s="14"/>
      <x:c r="I778" s="2" t="str">
        <x:v>S083</x:v>
      </x:c>
    </x:row>
    <x:row r="779" ht="27" customHeight="1">
      <x:c r="A779" s="2" t="str">
        <x:v>ch40_47_train2000_2005_seed42</x:v>
      </x:c>
      <x:c r="B779" s="2" t="str">
        <x:v>full_period</x:v>
      </x:c>
      <x:c r="C779" s="2" t="n">
        <x:v>27</x:v>
      </x:c>
      <x:c r="D779" s="14" t="n">
        <x:v>0.8349024300558829</x:v>
      </x:c>
      <x:c r="E779" s="14"/>
      <x:c r="F779" s="14"/>
      <x:c r="G779" s="14"/>
      <x:c r="H779" s="14"/>
      <x:c r="I779" s="2" t="str">
        <x:v>S083</x:v>
      </x:c>
    </x:row>
    <x:row r="780" ht="27" customHeight="1">
      <x:c r="A780" s="2" t="str">
        <x:v>ch40_47_train2000_2005_seed42</x:v>
      </x:c>
      <x:c r="B780" s="2" t="str">
        <x:v>full_period</x:v>
      </x:c>
      <x:c r="C780" s="2" t="n">
        <x:v>28</x:v>
      </x:c>
      <x:c r="D780" s="14" t="n">
        <x:v>0.8307725285623149</x:v>
      </x:c>
      <x:c r="E780" s="14"/>
      <x:c r="F780" s="14"/>
      <x:c r="G780" s="14"/>
      <x:c r="H780" s="14"/>
      <x:c r="I780" s="2" t="str">
        <x:v>S083</x:v>
      </x:c>
    </x:row>
    <x:row r="781" ht="27" customHeight="1">
      <x:c r="A781" s="2" t="str">
        <x:v>ch40_47_train2000_2005_seed42</x:v>
      </x:c>
      <x:c r="B781" s="2" t="str">
        <x:v>full_period</x:v>
      </x:c>
      <x:c r="C781" s="2" t="n">
        <x:v>29</x:v>
      </x:c>
      <x:c r="D781" s="14" t="n">
        <x:v>0.8297558536937584</x:v>
      </x:c>
      <x:c r="E781" s="14"/>
      <x:c r="F781" s="14"/>
      <x:c r="G781" s="14"/>
      <x:c r="H781" s="14"/>
      <x:c r="I781" s="2" t="str">
        <x:v>S083</x:v>
      </x:c>
    </x:row>
    <x:row r="782" ht="27" customHeight="1">
      <x:c r="A782" s="2" t="str">
        <x:v>ch40_47_train2000_2005_seed42</x:v>
      </x:c>
      <x:c r="B782" s="2" t="str">
        <x:v>full_period</x:v>
      </x:c>
      <x:c r="C782" s="2" t="n">
        <x:v>30</x:v>
      </x:c>
      <x:c r="D782" s="14" t="n">
        <x:v>0.8323715906962001</x:v>
      </x:c>
      <x:c r="E782" s="14"/>
      <x:c r="F782" s="14"/>
      <x:c r="G782" s="14" t="n">
        <x:v>0.6519740850391642</x:v>
      </x:c>
      <x:c r="H782" s="14"/>
      <x:c r="I782" s="2" t="str">
        <x:v>S083</x:v>
      </x:c>
    </x:row>
    <x:row r="783" ht="27" customHeight="1">
      <x:c r="A783" s="2" t="str">
        <x:v>ch40_47_train2000_2005_seed42</x:v>
      </x:c>
      <x:c r="B783" s="2" t="str">
        <x:v>full_period</x:v>
      </x:c>
      <x:c r="C783" s="2" t="n">
        <x:v>31</x:v>
      </x:c>
      <x:c r="D783" s="14" t="n">
        <x:v>0.8170278492589843</x:v>
      </x:c>
      <x:c r="E783" s="14"/>
      <x:c r="F783" s="14"/>
      <x:c r="G783" s="14"/>
      <x:c r="H783" s="14"/>
      <x:c r="I783" s="2" t="str">
        <x:v>S083</x:v>
      </x:c>
    </x:row>
    <x:row r="784" ht="27" customHeight="1">
      <x:c r="A784" s="2" t="str">
        <x:v>ch40_47_train2000_2005_seed42</x:v>
      </x:c>
      <x:c r="B784" s="2" t="str">
        <x:v>full_period</x:v>
      </x:c>
      <x:c r="C784" s="2" t="n">
        <x:v>32</x:v>
      </x:c>
      <x:c r="D784" s="14" t="n">
        <x:v>0.8088071039500766</x:v>
      </x:c>
      <x:c r="E784" s="14"/>
      <x:c r="F784" s="14"/>
      <x:c r="G784" s="14"/>
      <x:c r="H784" s="14"/>
      <x:c r="I784" s="2" t="str">
        <x:v>S083</x:v>
      </x:c>
    </x:row>
    <x:row r="785" ht="27" customHeight="1">
      <x:c r="A785" s="2" t="str">
        <x:v>ch40_47_train2000_2005_seed42</x:v>
      </x:c>
      <x:c r="B785" s="2" t="str">
        <x:v>full_period</x:v>
      </x:c>
      <x:c r="C785" s="2" t="n">
        <x:v>33</x:v>
      </x:c>
      <x:c r="D785" s="14" t="n">
        <x:v>0.7967584641059225</x:v>
      </x:c>
      <x:c r="E785" s="14"/>
      <x:c r="F785" s="14"/>
      <x:c r="G785" s="14"/>
      <x:c r="H785" s="14"/>
      <x:c r="I785" s="2" t="str">
        <x:v>S083</x:v>
      </x:c>
    </x:row>
    <x:row r="786" ht="27" customHeight="1">
      <x:c r="A786" s="2" t="str">
        <x:v>ch40_47_train2000_2005_seed42</x:v>
      </x:c>
      <x:c r="B786" s="2" t="str">
        <x:v>full_period</x:v>
      </x:c>
      <x:c r="C786" s="2" t="n">
        <x:v>34</x:v>
      </x:c>
      <x:c r="D786" s="14" t="n">
        <x:v>0.7903703788363263</x:v>
      </x:c>
      <x:c r="E786" s="14"/>
      <x:c r="F786" s="14"/>
      <x:c r="G786" s="14"/>
      <x:c r="H786" s="14"/>
      <x:c r="I786" s="2" t="str">
        <x:v>S083</x:v>
      </x:c>
    </x:row>
    <x:row r="787" ht="27" customHeight="1">
      <x:c r="A787" s="2" t="str">
        <x:v>ch40_47_train2000_2005_seed42</x:v>
      </x:c>
      <x:c r="B787" s="2" t="str">
        <x:v>full_period</x:v>
      </x:c>
      <x:c r="C787" s="2" t="n">
        <x:v>35</x:v>
      </x:c>
      <x:c r="D787" s="14" t="n">
        <x:v>0.7907532255089047</x:v>
      </x:c>
      <x:c r="E787" s="14"/>
      <x:c r="F787" s="14"/>
      <x:c r="G787" s="14" t="n">
        <x:v>0.2777738952735619</x:v>
      </x:c>
      <x:c r="H787" s="14"/>
      <x:c r="I787" s="2" t="str">
        <x:v>S083</x:v>
      </x:c>
    </x:row>
    <x:row r="788" ht="27" customHeight="1">
      <x:c r="A788" s="2" t="str">
        <x:v>ch40_47_train2000_2005_seed42</x:v>
      </x:c>
      <x:c r="B788" s="2" t="str">
        <x:v>full_period</x:v>
      </x:c>
      <x:c r="C788" s="2" t="n">
        <x:v>36</x:v>
      </x:c>
      <x:c r="D788" s="14" t="n">
        <x:v>0.796972537423813</x:v>
      </x:c>
      <x:c r="E788" s="14"/>
      <x:c r="F788" s="14"/>
      <x:c r="G788" s="14"/>
      <x:c r="H788" s="14"/>
      <x:c r="I788" s="2" t="str">
        <x:v>S083</x:v>
      </x:c>
    </x:row>
    <x:row r="789" ht="27" customHeight="1">
      <x:c r="A789" s="2" t="str">
        <x:v>ch40_47_train2000_2005_seed42</x:v>
      </x:c>
      <x:c r="B789" s="2" t="str">
        <x:v>full_period</x:v>
      </x:c>
      <x:c r="C789" s="2" t="n">
        <x:v>37</x:v>
      </x:c>
      <x:c r="D789" s="14" t="n">
        <x:v>0.7951417533563806</x:v>
      </x:c>
      <x:c r="E789" s="14"/>
      <x:c r="F789" s="14"/>
      <x:c r="G789" s="14"/>
      <x:c r="H789" s="14"/>
      <x:c r="I789" s="2" t="str">
        <x:v>S083</x:v>
      </x:c>
    </x:row>
    <x:row r="790" ht="27" customHeight="1">
      <x:c r="A790" s="2" t="str">
        <x:v>ch40_47_train2000_2005_seed42</x:v>
      </x:c>
      <x:c r="B790" s="2" t="str">
        <x:v>full_period</x:v>
      </x:c>
      <x:c r="C790" s="2" t="n">
        <x:v>38</x:v>
      </x:c>
      <x:c r="D790" s="14" t="n">
        <x:v>0.7911291168291498</x:v>
      </x:c>
      <x:c r="E790" s="14"/>
      <x:c r="F790" s="14"/>
      <x:c r="G790" s="14"/>
      <x:c r="H790" s="14"/>
      <x:c r="I790" s="2" t="str">
        <x:v>S083</x:v>
      </x:c>
    </x:row>
    <x:row r="791" ht="27" customHeight="1">
      <x:c r="A791" s="2" t="str">
        <x:v>ch40_47_train2000_2005_seed42</x:v>
      </x:c>
      <x:c r="B791" s="2" t="str">
        <x:v>full_period</x:v>
      </x:c>
      <x:c r="C791" s="2" t="n">
        <x:v>39</x:v>
      </x:c>
      <x:c r="D791" s="14" t="n">
        <x:v>0.7856725030939367</x:v>
      </x:c>
      <x:c r="E791" s="14"/>
      <x:c r="F791" s="14"/>
      <x:c r="G791" s="14"/>
      <x:c r="H791" s="14"/>
      <x:c r="I791" s="2" t="str">
        <x:v>S083</x:v>
      </x:c>
    </x:row>
    <x:row r="792" ht="27" customHeight="1">
      <x:c r="A792" s="2" t="str">
        <x:v>ch40_47_train2000_2005_seed42</x:v>
      </x:c>
      <x:c r="B792" s="2" t="str">
        <x:v>full_period</x:v>
      </x:c>
      <x:c r="C792" s="2" t="n">
        <x:v>40</x:v>
      </x:c>
      <x:c r="D792" s="14" t="n">
        <x:v>0.7903783933219128</x:v>
      </x:c>
      <x:c r="E792" s="14"/>
      <x:c r="F792" s="14"/>
      <x:c r="G792" s="14" t="n">
        <x:v>0.35714285714285715</x:v>
      </x:c>
      <x:c r="H792" s="14"/>
      <x:c r="I792" s="2" t="str">
        <x:v>S083</x:v>
      </x:c>
    </x:row>
    <x:row r="793" ht="27" customHeight="1">
      <x:c r="A793" s="2" t="str">
        <x:v>full_period_seed42_v1</x:v>
      </x:c>
      <x:c r="B793" s="2" t="str">
        <x:v>control</x:v>
      </x:c>
      <x:c r="C793" s="2" t="n">
        <x:v>1</x:v>
      </x:c>
      <x:c r="D793" s="14" t="n">
        <x:v>3.3686562702346254</x:v>
      </x:c>
      <x:c r="E793" s="14" t="n">
        <x:v>0.559663096662134</x:v>
      </x:c>
      <x:c r="F793" s="14" t="n">
        <x:v>2.8089931735711273</x:v>
      </x:c>
      <x:c r="G793" s="14" t="n">
        <x:v>0.8332640734803873</x:v>
      </x:c>
      <x:c r="H793" s="14" t="n">
        <x:v>1030.4232915790053</x:v>
      </x:c>
      <x:c r="I793" s="2" t="str">
        <x:v>S088</x:v>
      </x:c>
    </x:row>
    <x:row r="794" ht="27" customHeight="1">
      <x:c r="A794" s="2" t="str">
        <x:v>full_period_seed42_v1</x:v>
      </x:c>
      <x:c r="B794" s="2" t="str">
        <x:v>control</x:v>
      </x:c>
      <x:c r="C794" s="2" t="n">
        <x:v>2</x:v>
      </x:c>
      <x:c r="D794" s="14" t="n">
        <x:v>1.803396195920914</x:v>
      </x:c>
      <x:c r="E794" s="14" t="n">
        <x:v>0.28653954414044014</x:v>
      </x:c>
      <x:c r="F794" s="14" t="n">
        <x:v>1.5168566524851477</x:v>
      </x:c>
      <x:c r="G794" s="14" t="n">
        <x:v>0.7691568664315476</x:v>
      </x:c>
      <x:c r="H794" s="14" t="n">
        <x:v>1030.2717427189928</x:v>
      </x:c>
      <x:c r="I794" s="2" t="str">
        <x:v>S088</x:v>
      </x:c>
    </x:row>
    <x:row r="795" ht="27" customHeight="1">
      <x:c r="A795" s="2" t="str">
        <x:v>full_period_seed42_v1</x:v>
      </x:c>
      <x:c r="B795" s="2" t="str">
        <x:v>control</x:v>
      </x:c>
      <x:c r="C795" s="2" t="n">
        <x:v>3</x:v>
      </x:c>
      <x:c r="D795" s="14" t="n">
        <x:v>1.5068585538063004</x:v>
      </x:c>
      <x:c r="E795" s="14" t="n">
        <x:v>0.22137510323222687</x:v>
      </x:c>
      <x:c r="F795" s="14" t="n">
        <x:v>1.2854834505911277</x:v>
      </x:c>
      <x:c r="G795" s="14" t="n">
        <x:v>0.8332291279161068</x:v>
      </x:c>
      <x:c r="H795" s="14" t="n">
        <x:v>1030.5759010369657</x:v>
      </x:c>
      <x:c r="I795" s="2" t="str">
        <x:v>S088</x:v>
      </x:c>
    </x:row>
    <x:row r="796" ht="27" customHeight="1">
      <x:c r="A796" s="2" t="str">
        <x:v>full_period_seed42_v1</x:v>
      </x:c>
      <x:c r="B796" s="2" t="str">
        <x:v>control</x:v>
      </x:c>
      <x:c r="C796" s="2" t="n">
        <x:v>4</x:v>
      </x:c>
      <x:c r="D796" s="14" t="n">
        <x:v>1.3819209833616979</x:v>
      </x:c>
      <x:c r="E796" s="14" t="n">
        <x:v>0.19698718265913231</x:v>
      </x:c>
      <x:c r="F796" s="14" t="n">
        <x:v>1.184933800678008</x:v>
      </x:c>
      <x:c r="G796" s="14" t="n">
        <x:v>0.5881312919262973</x:v>
      </x:c>
      <x:c r="H796" s="14" t="n">
        <x:v>1030.1348166289972</x:v>
      </x:c>
      <x:c r="I796" s="2" t="str">
        <x:v>S088</x:v>
      </x:c>
    </x:row>
    <x:row r="797" ht="27" customHeight="1">
      <x:c r="A797" s="2" t="str">
        <x:v>full_period_seed42_v1</x:v>
      </x:c>
      <x:c r="B797" s="2" t="str">
        <x:v>control</x:v>
      </x:c>
      <x:c r="C797" s="2" t="n">
        <x:v>5</x:v>
      </x:c>
      <x:c r="D797" s="14" t="n">
        <x:v>1.3110005587661382</x:v>
      </x:c>
      <x:c r="E797" s="14" t="n">
        <x:v>0.18512465491634414</x:v>
      </x:c>
      <x:c r="F797" s="14" t="n">
        <x:v>1.12587590383274</x:v>
      </x:c>
      <x:c r="G797" s="14" t="n">
        <x:v>0.5768674541356649</x:v>
      </x:c>
      <x:c r="H797" s="14" t="n">
        <x:v>1030.5663527649594</x:v>
      </x:c>
      <x:c r="I797" s="2" t="str">
        <x:v>S088</x:v>
      </x:c>
    </x:row>
    <x:row r="798" ht="27" customHeight="1">
      <x:c r="A798" s="2" t="str">
        <x:v>full_period_seed42_v1</x:v>
      </x:c>
      <x:c r="B798" s="2" t="str">
        <x:v>observation_age</x:v>
      </x:c>
      <x:c r="C798" s="2" t="n">
        <x:v>1</x:v>
      </x:c>
      <x:c r="D798" s="14" t="n">
        <x:v>3.3878497595840313</x:v>
      </x:c>
      <x:c r="E798" s="14" t="n">
        <x:v>0.5611513759030176</x:v>
      </x:c>
      <x:c r="F798" s="14" t="n">
        <x:v>2.826698382659134</x:v>
      </x:c>
      <x:c r="G798" s="14" t="n">
        <x:v>0.7691568664315476</x:v>
      </x:c>
      <x:c r="H798" s="14" t="n">
        <x:v>1032.3573750120122</x:v>
      </x:c>
      <x:c r="I798" s="2" t="str">
        <x:v>S089</x:v>
      </x:c>
    </x:row>
    <x:row r="799" ht="27" customHeight="1">
      <x:c r="A799" s="2" t="str">
        <x:v>full_period_seed42_v1</x:v>
      </x:c>
      <x:c r="B799" s="2" t="str">
        <x:v>observation_age</x:v>
      </x:c>
      <x:c r="C799" s="2" t="n">
        <x:v>2</x:v>
      </x:c>
      <x:c r="D799" s="14" t="n">
        <x:v>1.8229791262149375</x:v>
      </x:c>
      <x:c r="E799" s="14" t="n">
        <x:v>0.2839885636375536</x:v>
      </x:c>
      <x:c r="F799" s="14" t="n">
        <x:v>1.5389905619034072</x:v>
      </x:c>
      <x:c r="G799" s="14" t="n">
        <x:v>0.6665972807051332</x:v>
      </x:c>
      <x:c r="H799" s="14" t="n">
        <x:v>1032.1125977650518</x:v>
      </x:c>
      <x:c r="I799" s="2" t="str">
        <x:v>S089</x:v>
      </x:c>
    </x:row>
    <x:row r="800" ht="27" customHeight="1">
      <x:c r="A800" s="2" t="str">
        <x:v>full_period_seed42_v1</x:v>
      </x:c>
      <x:c r="B800" s="2" t="str">
        <x:v>observation_age</x:v>
      </x:c>
      <x:c r="C800" s="2" t="n">
        <x:v>3</x:v>
      </x:c>
      <x:c r="D800" s="14" t="n">
        <x:v>1.5121833640311886</x:v>
      </x:c>
      <x:c r="E800" s="14" t="n">
        <x:v>0.22295576341094125</x:v>
      </x:c>
      <x:c r="F800" s="14" t="n">
        <x:v>1.289227599901248</x:v>
      </x:c>
      <x:c r="G800" s="14" t="n">
        <x:v>0.6665972807051332</x:v>
      </x:c>
      <x:c r="H800" s="14" t="n">
        <x:v>1032.5504257229622</x:v>
      </x:c>
      <x:c r="I800" s="2" t="str">
        <x:v>S089</x:v>
      </x:c>
    </x:row>
    <x:row r="801" ht="27" customHeight="1">
      <x:c r="A801" s="2" t="str">
        <x:v>full_period_seed42_v1</x:v>
      </x:c>
      <x:c r="B801" s="2" t="str">
        <x:v>observation_age</x:v>
      </x:c>
      <x:c r="C801" s="2" t="n">
        <x:v>4</x:v>
      </x:c>
      <x:c r="D801" s="14" t="n">
        <x:v>1.3909591360502334</x:v>
      </x:c>
      <x:c r="E801" s="14" t="n">
        <x:v>0.19899748011774096</x:v>
      </x:c>
      <x:c r="F801" s="14" t="n">
        <x:v>1.1919616571269593</x:v>
      </x:c>
      <x:c r="G801" s="14" t="n">
        <x:v>0.5881574110568931</x:v>
      </x:c>
      <x:c r="H801" s="14" t="n">
        <x:v>1032.1962979190284</x:v>
      </x:c>
      <x:c r="I801" s="2" t="str">
        <x:v>S089</x:v>
      </x:c>
    </x:row>
    <x:row r="802" ht="27" customHeight="1">
      <x:c r="A802" s="2" t="str">
        <x:v>full_period_seed42_v1</x:v>
      </x:c>
      <x:c r="B802" s="2" t="str">
        <x:v>observation_age</x:v>
      </x:c>
      <x:c r="C802" s="2" t="n">
        <x:v>5</x:v>
      </x:c>
      <x:c r="D802" s="14" t="n">
        <x:v>1.310227191886433</x:v>
      </x:c>
      <x:c r="E802" s="14" t="n">
        <x:v>0.18497293743935397</x:v>
      </x:c>
      <x:c r="F802" s="14" t="n">
        <x:v>1.1252542548925313</x:v>
      </x:c>
      <x:c r="G802" s="14" t="n">
        <x:v>0.8332291279161068</x:v>
      </x:c>
      <x:c r="H802" s="14" t="n">
        <x:v>1037.3520039960276</x:v>
      </x:c>
      <x:c r="I802" s="2" t="str">
        <x:v>S089</x:v>
      </x:c>
    </x:row>
  </x:sheetData>
  <x:pageMargins left="0.7" right="0.7" top="0.75" bottom="0.75" header="0.3" footer="0.3"/>
  <x:tableParts count="1">
    <x:tablePart xmlns:r="http://schemas.openxmlformats.org/officeDocument/2006/relationships" r:id="Rcfa0b3e4f7954a94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59" hidden="0" customWidth="1"/>
    <x:col min="3" max="3" width="32" hidden="0" customWidth="1"/>
    <x:col min="4" max="4" width="77" hidden="0" customWidth="1"/>
  </x:cols>
  <x:sheetData>
    <x:row r="1" ht="45" customHeight="1">
      <x:c r="A1" s="5" t="str">
        <x:v>Source ID</x:v>
      </x:c>
      <x:c r="B1" s="5" t="str">
        <x:v>Run or folder identifier</x:v>
      </x:c>
      <x:c r="C1" s="5" t="str">
        <x:v>Artifact</x:v>
      </x:c>
      <x:c r="D1" s="5" t="str">
        <x:v>SHA-256</x:v>
      </x:c>
    </x:row>
    <x:row r="2" ht="27" customHeight="1">
      <x:c r="A2" s="2" t="str">
        <x:v>S001</x:v>
      </x:c>
      <x:c r="B2" s="2" t="str">
        <x:v>ae_baseline_2003_seed42</x:v>
      </x:c>
      <x:c r="C2" s="2" t="str">
        <x:v>results.csv</x:v>
      </x:c>
      <x:c r="D2" s="2" t="str">
        <x:v>42f7eb2a7c860a9b1873215a7ede7b1c14ca4f1902ebe0eb32d1c962b64c53e5</x:v>
      </x:c>
    </x:row>
    <x:row r="3" ht="27" customHeight="1">
      <x:c r="A3" s="2" t="str">
        <x:v>S002</x:v>
      </x:c>
      <x:c r="B3" s="2" t="str">
        <x:v>ae_baseline_2003_seed42</x:v>
      </x:c>
      <x:c r="C3" s="2" t="str">
        <x:v>protocol.json</x:v>
      </x:c>
      <x:c r="D3" s="2" t="str">
        <x:v>9b07ba867871061182526a70aca14bdb6005ee7154993673ba496f9a4cd07aeb</x:v>
      </x:c>
    </x:row>
    <x:row r="4" ht="27" customHeight="1">
      <x:c r="A4" s="2" t="str">
        <x:v>S003</x:v>
      </x:c>
      <x:c r="B4" s="2" t="str">
        <x:v>2003</x:v>
      </x:c>
      <x:c r="C4" s="2" t="str">
        <x:v>history.csv</x:v>
      </x:c>
      <x:c r="D4" s="2" t="str">
        <x:v>3c14092016a9c32990d4a8dd1681a35940b0b90eddcc2c220f733523e4f053c6</x:v>
      </x:c>
    </x:row>
    <x:row r="5" ht="27" customHeight="1">
      <x:c r="A5" s="2" t="str">
        <x:v>S004</x:v>
      </x:c>
      <x:c r="B5" s="2" t="str">
        <x:v>ae_baseline_remaining_seed42</x:v>
      </x:c>
      <x:c r="C5" s="2" t="str">
        <x:v>results.csv</x:v>
      </x:c>
      <x:c r="D5" s="2" t="str">
        <x:v>720691f8ea01fc270dafec75ea828533f349cbc0e329e3e8c9dccd89c8b89c0e</x:v>
      </x:c>
    </x:row>
    <x:row r="6" ht="27" customHeight="1">
      <x:c r="A6" s="2" t="str">
        <x:v>S005</x:v>
      </x:c>
      <x:c r="B6" s="2" t="str">
        <x:v>ae_baseline_remaining_seed42</x:v>
      </x:c>
      <x:c r="C6" s="2" t="str">
        <x:v>protocol.json</x:v>
      </x:c>
      <x:c r="D6" s="2" t="str">
        <x:v>2d108b7bfa4d64fff3cff58985008b41d984ed65d3cec5607c35cd9ea9e2ab8f</x:v>
      </x:c>
    </x:row>
    <x:row r="7" ht="27" customHeight="1">
      <x:c r="A7" s="2" t="str">
        <x:v>S006</x:v>
      </x:c>
      <x:c r="B7" s="2" t="str">
        <x:v>2004</x:v>
      </x:c>
      <x:c r="C7" s="2" t="str">
        <x:v>history.csv</x:v>
      </x:c>
      <x:c r="D7" s="2" t="str">
        <x:v>0940d1e208c045b311a64435c5d830e2378a5141bc4ede84a7e340915905c80e</x:v>
      </x:c>
    </x:row>
    <x:row r="8" ht="27" customHeight="1">
      <x:c r="A8" s="2" t="str">
        <x:v>S007</x:v>
      </x:c>
      <x:c r="B8" s="2" t="str">
        <x:v>2005</x:v>
      </x:c>
      <x:c r="C8" s="2" t="str">
        <x:v>history.csv</x:v>
      </x:c>
      <x:c r="D8" s="2" t="str">
        <x:v>b74f09102abed350a6fb66961b52f2b5ca61bddeb4f56a3911b3a8340c9889b0</x:v>
      </x:c>
    </x:row>
    <x:row r="9" ht="27" customHeight="1">
      <x:c r="A9" s="2" t="str">
        <x:v>S008</x:v>
      </x:c>
      <x:c r="B9" s="2" t="str">
        <x:v>ae_expanded_seed42</x:v>
      </x:c>
      <x:c r="C9" s="2" t="str">
        <x:v>results.csv</x:v>
      </x:c>
      <x:c r="D9" s="2" t="str">
        <x:v>87677e77368326df25dfc67c53e394a50c2979f952d04ea16ac781632204bff0</x:v>
      </x:c>
    </x:row>
    <x:row r="10" ht="27" customHeight="1">
      <x:c r="A10" s="2" t="str">
        <x:v>S009</x:v>
      </x:c>
      <x:c r="B10" s="2" t="str">
        <x:v>ae_expanded_seed42</x:v>
      </x:c>
      <x:c r="C10" s="2" t="str">
        <x:v>protocol.json</x:v>
      </x:c>
      <x:c r="D10" s="2" t="str">
        <x:v>02de85e86ec31d9efb458c9fda51e1e9d66cc0341f5d5eafdb0289de67a9f0b7</x:v>
      </x:c>
    </x:row>
    <x:row r="11" ht="27" customHeight="1">
      <x:c r="A11" s="2" t="str">
        <x:v>S010</x:v>
      </x:c>
      <x:c r="B11" s="2" t="str">
        <x:v>2003</x:v>
      </x:c>
      <x:c r="C11" s="2" t="str">
        <x:v>history.csv</x:v>
      </x:c>
      <x:c r="D11" s="2" t="str">
        <x:v>f5665710977a6e2d92b6ed449148f1eecddd39a08c1e7b8806835a0dd1224385</x:v>
      </x:c>
    </x:row>
    <x:row r="12" ht="27" customHeight="1">
      <x:c r="A12" s="2" t="str">
        <x:v>S011</x:v>
      </x:c>
      <x:c r="B12" s="2" t="str">
        <x:v>2004</x:v>
      </x:c>
      <x:c r="C12" s="2" t="str">
        <x:v>history.csv</x:v>
      </x:c>
      <x:c r="D12" s="2" t="str">
        <x:v>f9a9766f81756170beb4b52cb93b9ad86619acbac00310f4d3505e0f3f66b539</x:v>
      </x:c>
    </x:row>
    <x:row r="13" ht="27" customHeight="1">
      <x:c r="A13" s="2" t="str">
        <x:v>S012</x:v>
      </x:c>
      <x:c r="B13" s="2" t="str">
        <x:v>2005</x:v>
      </x:c>
      <x:c r="C13" s="2" t="str">
        <x:v>history.csv</x:v>
      </x:c>
      <x:c r="D13" s="2" t="str">
        <x:v>3c4d7274932ab71435a7be178024af98d1e2b86a03ccb0621a98498262823b76</x:v>
      </x:c>
    </x:row>
    <x:row r="14" ht="27" customHeight="1">
      <x:c r="A14" s="2" t="str">
        <x:v>S013</x:v>
      </x:c>
      <x:c r="B14" s="2" t="str">
        <x:v>ae_reconstruction_seed42</x:v>
      </x:c>
      <x:c r="C14" s="2" t="str">
        <x:v>results.csv</x:v>
      </x:c>
      <x:c r="D14" s="2" t="str">
        <x:v>0f55a3ea2a40074008acc0c62fca94dbc1dcb918acd1b7ab7993d86994d3133b</x:v>
      </x:c>
    </x:row>
    <x:row r="15" ht="27" customHeight="1">
      <x:c r="A15" s="2" t="str">
        <x:v>S014</x:v>
      </x:c>
      <x:c r="B15" s="2" t="str">
        <x:v>ae_reconstruction_seed42</x:v>
      </x:c>
      <x:c r="C15" s="2" t="str">
        <x:v>protocol.json</x:v>
      </x:c>
      <x:c r="D15" s="2" t="str">
        <x:v>1b393bcaa3a221a514edfcdd1806068ff1cc4fb2bdae59739d7df2fdd0658ff8</x:v>
      </x:c>
    </x:row>
    <x:row r="16" ht="27" customHeight="1">
      <x:c r="A16" s="2" t="str">
        <x:v>S015</x:v>
      </x:c>
      <x:c r="B16" s="2" t="str">
        <x:v>2003</x:v>
      </x:c>
      <x:c r="C16" s="2" t="str">
        <x:v>history.csv</x:v>
      </x:c>
      <x:c r="D16" s="2" t="str">
        <x:v>141797591916ca023f3d7b316a6dc491d1d67275c0b7f780bafcc024b32d6741</x:v>
      </x:c>
    </x:row>
    <x:row r="17" ht="27" customHeight="1">
      <x:c r="A17" s="2" t="str">
        <x:v>S016</x:v>
      </x:c>
      <x:c r="B17" s="2" t="str">
        <x:v>2004</x:v>
      </x:c>
      <x:c r="C17" s="2" t="str">
        <x:v>history.csv</x:v>
      </x:c>
      <x:c r="D17" s="2" t="str">
        <x:v>49320a18c120318c1d21981f8f9a41b924e2a6d696de0c82ddb90d0247233a35</x:v>
      </x:c>
    </x:row>
    <x:row r="18" ht="27" customHeight="1">
      <x:c r="A18" s="2" t="str">
        <x:v>S017</x:v>
      </x:c>
      <x:c r="B18" s="2" t="str">
        <x:v>2005</x:v>
      </x:c>
      <x:c r="C18" s="2" t="str">
        <x:v>history.csv</x:v>
      </x:c>
      <x:c r="D18" s="2" t="str">
        <x:v>1b79f94a9a1dc950affa8a3d81f9f054385ac338acf4a5dc8a452d9160b7f224</x:v>
      </x:c>
    </x:row>
    <x:row r="19" ht="27" customHeight="1">
      <x:c r="A19" s="2" t="str">
        <x:v>S018</x:v>
      </x:c>
      <x:c r="B19" s="2" t="str">
        <x:v>ae_specialist_seed42_verified</x:v>
      </x:c>
      <x:c r="C19" s="2" t="str">
        <x:v>results.csv</x:v>
      </x:c>
      <x:c r="D19" s="2" t="str">
        <x:v>b7b8ed7420757ad3f00c24f1245af33d0dd5df0d1f196f1e561124ca1f4ed46a</x:v>
      </x:c>
    </x:row>
    <x:row r="20" ht="27" customHeight="1">
      <x:c r="A20" s="2" t="str">
        <x:v>S019</x:v>
      </x:c>
      <x:c r="B20" s="2" t="str">
        <x:v>ae_specialist_seed42_verified</x:v>
      </x:c>
      <x:c r="C20" s="2" t="str">
        <x:v>protocol.json</x:v>
      </x:c>
      <x:c r="D20" s="2" t="str">
        <x:v>cc4990b01f8a5b61fd3a639ac6c4703058f98385200ccd12734a27bd58ba9d61</x:v>
      </x:c>
    </x:row>
    <x:row r="21" ht="27" customHeight="1">
      <x:c r="A21" s="2" t="str">
        <x:v>S020</x:v>
      </x:c>
      <x:c r="B21" s="2" t="str">
        <x:v>2003</x:v>
      </x:c>
      <x:c r="C21" s="2" t="str">
        <x:v>history.csv</x:v>
      </x:c>
      <x:c r="D21" s="2" t="str">
        <x:v>067923d2aa57a6f45468aab9260759ab7ce84b15c896672a5863609b69414ec9</x:v>
      </x:c>
    </x:row>
    <x:row r="22" ht="27" customHeight="1">
      <x:c r="A22" s="2" t="str">
        <x:v>S021</x:v>
      </x:c>
      <x:c r="B22" s="2" t="str">
        <x:v>2004</x:v>
      </x:c>
      <x:c r="C22" s="2" t="str">
        <x:v>history.csv</x:v>
      </x:c>
      <x:c r="D22" s="2" t="str">
        <x:v>959cdf3ecd0cd02de931a1225d9c84b78219a12637ff2302b086425e1d34d2e2</x:v>
      </x:c>
    </x:row>
    <x:row r="23" ht="27" customHeight="1">
      <x:c r="A23" s="2" t="str">
        <x:v>S022</x:v>
      </x:c>
      <x:c r="B23" s="2" t="str">
        <x:v>2005</x:v>
      </x:c>
      <x:c r="C23" s="2" t="str">
        <x:v>history.csv</x:v>
      </x:c>
      <x:c r="D23" s="2" t="str">
        <x:v>cf4b1b37f3fd0f51839cfd3c28db310baede78fbc30978f12746cb01959b3cf1</x:v>
      </x:c>
    </x:row>
    <x:row r="24" ht="27" customHeight="1">
      <x:c r="A24" s="2" t="str">
        <x:v>S023</x:v>
      </x:c>
      <x:c r="B24" s="2" t="str">
        <x:v>combined_specialist_seed42</x:v>
      </x:c>
      <x:c r="C24" s="2" t="str">
        <x:v>results.csv</x:v>
      </x:c>
      <x:c r="D24" s="2" t="str">
        <x:v>7cf1a7c5f3fe1bd0ba33dd1aca4952452537137a38da6dc6ca87be13b4c9d44f</x:v>
      </x:c>
    </x:row>
    <x:row r="25" ht="27" customHeight="1">
      <x:c r="A25" s="2" t="str">
        <x:v>S024</x:v>
      </x:c>
      <x:c r="B25" s="2" t="str">
        <x:v>combined_specialist_seed42</x:v>
      </x:c>
      <x:c r="C25" s="2" t="str">
        <x:v>protocol.json</x:v>
      </x:c>
      <x:c r="D25" s="2" t="str">
        <x:v>02f1eb0c9f6ba1783bdd6373655348682e2231d0097a9a21b9440e2437e27819</x:v>
      </x:c>
    </x:row>
    <x:row r="26" ht="27" customHeight="1">
      <x:c r="A26" s="2" t="str">
        <x:v>S025</x:v>
      </x:c>
      <x:c r="B26" s="2" t="str">
        <x:v>short_coordinated_seed42_v1</x:v>
      </x:c>
      <x:c r="C26" s="2" t="str">
        <x:v>results.csv</x:v>
      </x:c>
      <x:c r="D26" s="2" t="str">
        <x:v>2225df0549777af9885e030decaffeb8aac834c740182337f0c0960eaaad353c</x:v>
      </x:c>
    </x:row>
    <x:row r="27" ht="27" customHeight="1">
      <x:c r="A27" s="2" t="str">
        <x:v>S026</x:v>
      </x:c>
      <x:c r="B27" s="2" t="str">
        <x:v>short_coordinated_seed42_v1</x:v>
      </x:c>
      <x:c r="C27" s="2" t="str">
        <x:v>protocol.json</x:v>
      </x:c>
      <x:c r="D27" s="2" t="str">
        <x:v>a914137bbcc274391def230bf9f5ee2a2a685b4d42782b677be3c60b9c538e38</x:v>
      </x:c>
    </x:row>
    <x:row r="28" ht="27" customHeight="1">
      <x:c r="A28" s="2" t="str">
        <x:v>S027</x:v>
      </x:c>
      <x:c r="B28" s="2" t="str">
        <x:v>legacy</x:v>
      </x:c>
      <x:c r="C28" s="2" t="str">
        <x:v>history.csv</x:v>
      </x:c>
      <x:c r="D28" s="2" t="str">
        <x:v>9e6f7a94a1a84347d2aa45e8a7cb2d7484b9efb1551f26a549dfc3f8a57c65f0</x:v>
      </x:c>
    </x:row>
    <x:row r="29" ht="27" customHeight="1">
      <x:c r="A29" s="2" t="str">
        <x:v>S028</x:v>
      </x:c>
      <x:c r="B29" s="2" t="str">
        <x:v>short_coordinated</x:v>
      </x:c>
      <x:c r="C29" s="2" t="str">
        <x:v>history.csv</x:v>
      </x:c>
      <x:c r="D29" s="2" t="str">
        <x:v>889f758c2d30cd90ed5b016e9e300f2d6b0d76cfd6c1f10767b540cfbf2f3c5c</x:v>
      </x:c>
    </x:row>
    <x:row r="30" ht="27" customHeight="1">
      <x:c r="A30" s="2" t="str">
        <x:v>S029</x:v>
      </x:c>
      <x:c r="B30" s="2" t="str">
        <x:v>legacy</x:v>
      </x:c>
      <x:c r="C30" s="2" t="str">
        <x:v>history.csv</x:v>
      </x:c>
      <x:c r="D30" s="2" t="str">
        <x:v>eef3ba3f44d7d7e6db50fdb0b864b626ff8c766cf9f5c203563415f7e5ff958d</x:v>
      </x:c>
    </x:row>
    <x:row r="31" ht="27" customHeight="1">
      <x:c r="A31" s="2" t="str">
        <x:v>S030</x:v>
      </x:c>
      <x:c r="B31" s="2" t="str">
        <x:v>short_coordinated</x:v>
      </x:c>
      <x:c r="C31" s="2" t="str">
        <x:v>history.csv</x:v>
      </x:c>
      <x:c r="D31" s="2" t="str">
        <x:v>c4e1658bf4cd1608dba897a0413946e1c1e5b9ed1ea8f7236fbb9948612c4a75</x:v>
      </x:c>
    </x:row>
    <x:row r="32" ht="27" customHeight="1">
      <x:c r="A32" s="2" t="str">
        <x:v>S031</x:v>
      </x:c>
      <x:c r="B32" s="2" t="str">
        <x:v>legacy</x:v>
      </x:c>
      <x:c r="C32" s="2" t="str">
        <x:v>history.csv</x:v>
      </x:c>
      <x:c r="D32" s="2" t="str">
        <x:v>fafa37d337c1376465877cd3502c1abb3f40e07c37eea2b8e4b9862442659bb0</x:v>
      </x:c>
    </x:row>
    <x:row r="33" ht="27" customHeight="1">
      <x:c r="A33" s="2" t="str">
        <x:v>S032</x:v>
      </x:c>
      <x:c r="B33" s="2" t="str">
        <x:v>short_coordinated</x:v>
      </x:c>
      <x:c r="C33" s="2" t="str">
        <x:v>history.csv</x:v>
      </x:c>
      <x:c r="D33" s="2" t="str">
        <x:v>26713ed7635f1c184ac9728310248cb6a7298e56576bf0e0ce39cf4c79f10457</x:v>
      </x:c>
    </x:row>
    <x:row r="34" ht="27" customHeight="1">
      <x:c r="A34" s="2" t="str">
        <x:v>S033</x:v>
      </x:c>
      <x:c r="B34" s="2" t="str">
        <x:v>short_coordinated_seed43_v1</x:v>
      </x:c>
      <x:c r="C34" s="2" t="str">
        <x:v>results.csv</x:v>
      </x:c>
      <x:c r="D34" s="2" t="str">
        <x:v>b846b0ddf9e538c9d82a24800a10f736f737b6753f7b2f73449ff9aad1b1450b</x:v>
      </x:c>
    </x:row>
    <x:row r="35" ht="27" customHeight="1">
      <x:c r="A35" s="2" t="str">
        <x:v>S034</x:v>
      </x:c>
      <x:c r="B35" s="2" t="str">
        <x:v>short_coordinated_seed43_v1</x:v>
      </x:c>
      <x:c r="C35" s="2" t="str">
        <x:v>protocol.json</x:v>
      </x:c>
      <x:c r="D35" s="2" t="str">
        <x:v>e0eb28d9543c608c15dbe00aca3f8e69ba21bfa3e5a060071bb6548f5c8e617c</x:v>
      </x:c>
    </x:row>
    <x:row r="36" ht="27" customHeight="1">
      <x:c r="A36" s="2" t="str">
        <x:v>S035</x:v>
      </x:c>
      <x:c r="B36" s="2" t="str">
        <x:v>legacy</x:v>
      </x:c>
      <x:c r="C36" s="2" t="str">
        <x:v>history.csv</x:v>
      </x:c>
      <x:c r="D36" s="2" t="str">
        <x:v>fe289c23a25f7c21877c0862eaf898063d632f5c6a05bde43e8f210641bad648</x:v>
      </x:c>
    </x:row>
    <x:row r="37" ht="27" customHeight="1">
      <x:c r="A37" s="2" t="str">
        <x:v>S036</x:v>
      </x:c>
      <x:c r="B37" s="2" t="str">
        <x:v>short_coordinated</x:v>
      </x:c>
      <x:c r="C37" s="2" t="str">
        <x:v>history.csv</x:v>
      </x:c>
      <x:c r="D37" s="2" t="str">
        <x:v>09f3fb20383e89d40e1f308e45bbc1b122a20f19201a22143ac924658c1ad935</x:v>
      </x:c>
    </x:row>
    <x:row r="38" ht="27" customHeight="1">
      <x:c r="A38" s="2" t="str">
        <x:v>S037</x:v>
      </x:c>
      <x:c r="B38" s="2" t="str">
        <x:v>legacy</x:v>
      </x:c>
      <x:c r="C38" s="2" t="str">
        <x:v>history.csv</x:v>
      </x:c>
      <x:c r="D38" s="2" t="str">
        <x:v>9b61241f3aeb4a3b165b17f30fa6b46aee12f6e4949b89c3d738da2d1692e3ef</x:v>
      </x:c>
    </x:row>
    <x:row r="39" ht="27" customHeight="1">
      <x:c r="A39" s="2" t="str">
        <x:v>S038</x:v>
      </x:c>
      <x:c r="B39" s="2" t="str">
        <x:v>short_coordinated</x:v>
      </x:c>
      <x:c r="C39" s="2" t="str">
        <x:v>history.csv</x:v>
      </x:c>
      <x:c r="D39" s="2" t="str">
        <x:v>1dd18d775047fb17890db8dcbd008dc62e96da09e170d6636e5a9cc102c96e58</x:v>
      </x:c>
    </x:row>
    <x:row r="40" ht="27" customHeight="1">
      <x:c r="A40" s="2" t="str">
        <x:v>S039</x:v>
      </x:c>
      <x:c r="B40" s="2" t="str">
        <x:v>legacy</x:v>
      </x:c>
      <x:c r="C40" s="2" t="str">
        <x:v>history.csv</x:v>
      </x:c>
      <x:c r="D40" s="2" t="str">
        <x:v>9b415ef51f12570850cc1f53f911ee45cff40f6b862f345349c982e6cbe98ec5</x:v>
      </x:c>
    </x:row>
    <x:row r="41" ht="27" customHeight="1">
      <x:c r="A41" s="2" t="str">
        <x:v>S040</x:v>
      </x:c>
      <x:c r="B41" s="2" t="str">
        <x:v>short_coordinated</x:v>
      </x:c>
      <x:c r="C41" s="2" t="str">
        <x:v>history.csv</x:v>
      </x:c>
      <x:c r="D41" s="2" t="str">
        <x:v>b6e3531bc79631816ccdc69697478e5c79ec77dc4187fa00f726c2a8273751db</x:v>
      </x:c>
    </x:row>
    <x:row r="42" ht="27" customHeight="1">
      <x:c r="A42" s="2" t="str">
        <x:v>S041</x:v>
      </x:c>
      <x:c r="B42" s="2" t="str">
        <x:v>short_coordinated_seed44_v1</x:v>
      </x:c>
      <x:c r="C42" s="2" t="str">
        <x:v>results.csv</x:v>
      </x:c>
      <x:c r="D42" s="2" t="str">
        <x:v>a48f2dd54a22bc1a8c0e317494437353eb6f29d4a5ed0765577c2b30d0438b1b</x:v>
      </x:c>
    </x:row>
    <x:row r="43" ht="27" customHeight="1">
      <x:c r="A43" s="2" t="str">
        <x:v>S042</x:v>
      </x:c>
      <x:c r="B43" s="2" t="str">
        <x:v>short_coordinated_seed44_v1</x:v>
      </x:c>
      <x:c r="C43" s="2" t="str">
        <x:v>protocol.json</x:v>
      </x:c>
      <x:c r="D43" s="2" t="str">
        <x:v>ac85f5bb98088044ff8d5b977f40f046d974143924bf83acec8e13ce89b11139</x:v>
      </x:c>
    </x:row>
    <x:row r="44" ht="27" customHeight="1">
      <x:c r="A44" s="2" t="str">
        <x:v>S043</x:v>
      </x:c>
      <x:c r="B44" s="2" t="str">
        <x:v>legacy</x:v>
      </x:c>
      <x:c r="C44" s="2" t="str">
        <x:v>history.csv</x:v>
      </x:c>
      <x:c r="D44" s="2" t="str">
        <x:v>b868a7fbb0a4a01d1626085062778f9acc784afaca8ee2af14840b9ca41367a2</x:v>
      </x:c>
    </x:row>
    <x:row r="45" ht="27" customHeight="1">
      <x:c r="A45" s="2" t="str">
        <x:v>S044</x:v>
      </x:c>
      <x:c r="B45" s="2" t="str">
        <x:v>short_coordinated</x:v>
      </x:c>
      <x:c r="C45" s="2" t="str">
        <x:v>history.csv</x:v>
      </x:c>
      <x:c r="D45" s="2" t="str">
        <x:v>a9b2dc8411cd73220a17da6c12ff06297bbff1e97e5d663aebcf71520e78d2a2</x:v>
      </x:c>
    </x:row>
    <x:row r="46" ht="27" customHeight="1">
      <x:c r="A46" s="2" t="str">
        <x:v>S045</x:v>
      </x:c>
      <x:c r="B46" s="2" t="str">
        <x:v>legacy</x:v>
      </x:c>
      <x:c r="C46" s="2" t="str">
        <x:v>history.csv</x:v>
      </x:c>
      <x:c r="D46" s="2" t="str">
        <x:v>934c46c218d5694ab9759266a64793c5ca8f27660725dd3f71f92c9fbd8587cb</x:v>
      </x:c>
    </x:row>
    <x:row r="47" ht="27" customHeight="1">
      <x:c r="A47" s="2" t="str">
        <x:v>S046</x:v>
      </x:c>
      <x:c r="B47" s="2" t="str">
        <x:v>short_coordinated</x:v>
      </x:c>
      <x:c r="C47" s="2" t="str">
        <x:v>history.csv</x:v>
      </x:c>
      <x:c r="D47" s="2" t="str">
        <x:v>2ee2819d80c3f6d46b0b4a1487fd96497735718b1e989d3bc15b62519062da84</x:v>
      </x:c>
    </x:row>
    <x:row r="48" ht="27" customHeight="1">
      <x:c r="A48" s="2" t="str">
        <x:v>S047</x:v>
      </x:c>
      <x:c r="B48" s="2" t="str">
        <x:v>legacy</x:v>
      </x:c>
      <x:c r="C48" s="2" t="str">
        <x:v>history.csv</x:v>
      </x:c>
      <x:c r="D48" s="2" t="str">
        <x:v>451f9700e2927fbcfd11c63d1a61475702154083377f85647b43c3b31757cb8a</x:v>
      </x:c>
    </x:row>
    <x:row r="49" ht="27" customHeight="1">
      <x:c r="A49" s="2" t="str">
        <x:v>S048</x:v>
      </x:c>
      <x:c r="B49" s="2" t="str">
        <x:v>short_coordinated</x:v>
      </x:c>
      <x:c r="C49" s="2" t="str">
        <x:v>history.csv</x:v>
      </x:c>
      <x:c r="D49" s="2" t="str">
        <x:v>ae9bfac7349c59b72f8759fb08c505679a230db35111996531bfc478828edcf5</x:v>
      </x:c>
    </x:row>
    <x:row r="50" ht="27" customHeight="1">
      <x:c r="A50" s="2" t="str">
        <x:v>S049</x:v>
      </x:c>
      <x:c r="B50" s="2" t="str">
        <x:v>short_no_roll_seed42_v1</x:v>
      </x:c>
      <x:c r="C50" s="2" t="str">
        <x:v>results.csv</x:v>
      </x:c>
      <x:c r="D50" s="2" t="str">
        <x:v>3c947b5a482ea597ff1682ec94e91cbf9f53ec75d24d45de61a80f60e77b7c97</x:v>
      </x:c>
    </x:row>
    <x:row r="51" ht="27" customHeight="1">
      <x:c r="A51" s="2" t="str">
        <x:v>S050</x:v>
      </x:c>
      <x:c r="B51" s="2" t="str">
        <x:v>short_no_roll_seed42_v1</x:v>
      </x:c>
      <x:c r="C51" s="2" t="str">
        <x:v>protocol.json</x:v>
      </x:c>
      <x:c r="D51" s="2" t="str">
        <x:v>a703739bbb4e8e987459b2d96e9a5e55eef27ce9175b5fde7edcee2dcc7ef00f</x:v>
      </x:c>
    </x:row>
    <x:row r="52" ht="27" customHeight="1">
      <x:c r="A52" s="2" t="str">
        <x:v>S051</x:v>
      </x:c>
      <x:c r="B52" s="2" t="str">
        <x:v>short_coordinated</x:v>
      </x:c>
      <x:c r="C52" s="2" t="str">
        <x:v>history.csv</x:v>
      </x:c>
      <x:c r="D52" s="2" t="str">
        <x:v>8d6360bd48033e3a8f039f06620c6c54801dd4ae6bab0664779e820f373646b3</x:v>
      </x:c>
    </x:row>
    <x:row r="53" ht="27" customHeight="1">
      <x:c r="A53" s="2" t="str">
        <x:v>S052</x:v>
      </x:c>
      <x:c r="B53" s="2" t="str">
        <x:v>short_no_roll</x:v>
      </x:c>
      <x:c r="C53" s="2" t="str">
        <x:v>history.csv</x:v>
      </x:c>
      <x:c r="D53" s="2" t="str">
        <x:v>ff302527d5ade6c566d5665e701225d9db226062996a9e405c1c5e2a9edb46a3</x:v>
      </x:c>
    </x:row>
    <x:row r="54" ht="27" customHeight="1">
      <x:c r="A54" s="2" t="str">
        <x:v>S053</x:v>
      </x:c>
      <x:c r="B54" s="2" t="str">
        <x:v>short_coordinated</x:v>
      </x:c>
      <x:c r="C54" s="2" t="str">
        <x:v>history.csv</x:v>
      </x:c>
      <x:c r="D54" s="2" t="str">
        <x:v>82b98ad5c1616e3cded4450b4dcfafd902352699b821e637fb6be9ea2375ec78</x:v>
      </x:c>
    </x:row>
    <x:row r="55" ht="27" customHeight="1">
      <x:c r="A55" s="2" t="str">
        <x:v>S054</x:v>
      </x:c>
      <x:c r="B55" s="2" t="str">
        <x:v>short_no_roll</x:v>
      </x:c>
      <x:c r="C55" s="2" t="str">
        <x:v>history.csv</x:v>
      </x:c>
      <x:c r="D55" s="2" t="str">
        <x:v>5ea6b16776062ef9e62d9571eccea167b2e3755a3e7419d0a751ff9781ac94f2</x:v>
      </x:c>
    </x:row>
    <x:row r="56" ht="27" customHeight="1">
      <x:c r="A56" s="2" t="str">
        <x:v>S055</x:v>
      </x:c>
      <x:c r="B56" s="2" t="str">
        <x:v>short_coordinated</x:v>
      </x:c>
      <x:c r="C56" s="2" t="str">
        <x:v>history.csv</x:v>
      </x:c>
      <x:c r="D56" s="2" t="str">
        <x:v>922a9479efb9c56a0a636049bd6cc352eb25ca27befe3bd5dafed980627e0acb</x:v>
      </x:c>
    </x:row>
    <x:row r="57" ht="27" customHeight="1">
      <x:c r="A57" s="2" t="str">
        <x:v>S056</x:v>
      </x:c>
      <x:c r="B57" s="2" t="str">
        <x:v>short_no_roll</x:v>
      </x:c>
      <x:c r="C57" s="2" t="str">
        <x:v>history.csv</x:v>
      </x:c>
      <x:c r="D57" s="2" t="str">
        <x:v>980f527c9f0da10c402c158fe4d1409861d3dc977cc67ea624e8a0a446044671</x:v>
      </x:c>
    </x:row>
    <x:row r="58" ht="27" customHeight="1">
      <x:c r="A58" s="2" t="str">
        <x:v>S057</x:v>
      </x:c>
      <x:c r="B58" s="2" t="str">
        <x:v>masked-pilot-2003-2026-09-24</x:v>
      </x:c>
      <x:c r="C58" s="2" t="str">
        <x:v>dual_scope_results.csv</x:v>
      </x:c>
      <x:c r="D58" s="2" t="str">
        <x:v>ec906282796fdb3c8fd08cf28ca3bdee0129dc4daa7a7ff8922c2c9a3531fc6f</x:v>
      </x:c>
    </x:row>
    <x:row r="59" ht="27" customHeight="1">
      <x:c r="A59" s="2" t="str">
        <x:v>S058</x:v>
      </x:c>
      <x:c r="B59" s="2" t="str">
        <x:v>masked_pilot_2003_seed42_v1</x:v>
      </x:c>
      <x:c r="C59" s="2" t="str">
        <x:v>protocol.json</x:v>
      </x:c>
      <x:c r="D59" s="2" t="str">
        <x:v>748a33ab582338fd331fa7366bd9360824ab60f5b0ec9a8a74f502a27333a581</x:v>
      </x:c>
    </x:row>
    <x:row r="60" ht="27" customHeight="1">
      <x:c r="A60" s="2" t="str">
        <x:v>S059</x:v>
      </x:c>
      <x:c r="B60" s="2" t="str">
        <x:v>masked_pilot_2004_2005_seed42_v2</x:v>
      </x:c>
      <x:c r="C60" s="2" t="str">
        <x:v>dual_scope_results.csv</x:v>
      </x:c>
      <x:c r="D60" s="2" t="str">
        <x:v>77f4cb4f062d1edc95d01ef22ae1d39301cd45d5a3f800fe8630bbf99393f629</x:v>
      </x:c>
    </x:row>
    <x:row r="61" ht="27" customHeight="1">
      <x:c r="A61" s="2" t="str">
        <x:v>S060</x:v>
      </x:c>
      <x:c r="B61" s="2" t="str">
        <x:v>masked_pilot_2004_2005_seed42_v2</x:v>
      </x:c>
      <x:c r="C61" s="2" t="str">
        <x:v>protocol.json</x:v>
      </x:c>
      <x:c r="D61" s="2" t="str">
        <x:v>841da8a44e4a6fa69492b9ca1027557ec7bae596dde98c4f027ab703063e06c1</x:v>
      </x:c>
    </x:row>
    <x:row r="62" ht="27" customHeight="1">
      <x:c r="A62" s="2" t="str">
        <x:v>S061</x:v>
      </x:c>
      <x:c r="B62" s="2" t="str">
        <x:v>baseline</x:v>
      </x:c>
      <x:c r="C62" s="2" t="str">
        <x:v>history.csv</x:v>
      </x:c>
      <x:c r="D62" s="2" t="str">
        <x:v>f75103cd835312e68d68f4205bff9a625f1b2c1539e6b661747f886293a51e33</x:v>
      </x:c>
    </x:row>
    <x:row r="63" ht="27" customHeight="1">
      <x:c r="A63" s="2" t="str">
        <x:v>S062</x:v>
      </x:c>
      <x:c r="B63" s="2" t="str">
        <x:v>masked</x:v>
      </x:c>
      <x:c r="C63" s="2" t="str">
        <x:v>history.csv</x:v>
      </x:c>
      <x:c r="D63" s="2" t="str">
        <x:v>bd45e7e23ecc74de86bf6941d675c11033589afac1476d34ac6ba3582d4e60ce</x:v>
      </x:c>
    </x:row>
    <x:row r="64" ht="27" customHeight="1">
      <x:c r="A64" s="2" t="str">
        <x:v>S063</x:v>
      </x:c>
      <x:c r="B64" s="2" t="str">
        <x:v>baseline</x:v>
      </x:c>
      <x:c r="C64" s="2" t="str">
        <x:v>history.csv</x:v>
      </x:c>
      <x:c r="D64" s="2" t="str">
        <x:v>9338e821f015aa192057e12c1cce423db80b07bcffa866d8bddf90e23b8f6227</x:v>
      </x:c>
    </x:row>
    <x:row r="65" ht="27" customHeight="1">
      <x:c r="A65" s="2" t="str">
        <x:v>S064</x:v>
      </x:c>
      <x:c r="B65" s="2" t="str">
        <x:v>masked</x:v>
      </x:c>
      <x:c r="C65" s="2" t="str">
        <x:v>history.csv</x:v>
      </x:c>
      <x:c r="D65" s="2" t="str">
        <x:v>22181342a4b4ab4909a76f8f5c90211f4b311c0276b645816826bbb52c99111f</x:v>
      </x:c>
    </x:row>
    <x:row r="66" ht="27" customHeight="1">
      <x:c r="A66" s="2" t="str">
        <x:v>S065</x:v>
      </x:c>
      <x:c r="B66" s="2" t="str">
        <x:v>masked_overlap_2004_seed42_v1</x:v>
      </x:c>
      <x:c r="C66" s="2" t="str">
        <x:v>dual_scope_results.csv</x:v>
      </x:c>
      <x:c r="D66" s="2" t="str">
        <x:v>fdb34e1cdf42b94c4d57c8fad813686f789ca963e27b9fb1605664d7c31f06d9</x:v>
      </x:c>
    </x:row>
    <x:row r="67" ht="27" customHeight="1">
      <x:c r="A67" s="2" t="str">
        <x:v>S066</x:v>
      </x:c>
      <x:c r="B67" s="2" t="str">
        <x:v>masked_overlap_2004_seed42_v1</x:v>
      </x:c>
      <x:c r="C67" s="2" t="str">
        <x:v>protocol.json</x:v>
      </x:c>
      <x:c r="D67" s="2" t="str">
        <x:v>3744e172d6243a59785e21f5e4bbc565d320929811e6b24b294d299c7f1297aa</x:v>
      </x:c>
    </x:row>
    <x:row r="68" ht="27" customHeight="1">
      <x:c r="A68" s="2" t="str">
        <x:v>S067</x:v>
      </x:c>
      <x:c r="B68" s="2" t="str">
        <x:v>masked</x:v>
      </x:c>
      <x:c r="C68" s="2" t="str">
        <x:v>history.csv</x:v>
      </x:c>
      <x:c r="D68" s="2" t="str">
        <x:v>a6f969b3a98538f93da46150bf08f5e785ca065f23866ae5bb1cfa7fa11e867c</x:v>
      </x:c>
    </x:row>
    <x:row r="69" ht="27" customHeight="1">
      <x:c r="A69" s="2" t="str">
        <x:v>S068</x:v>
      </x:c>
      <x:c r="B69" s="2" t="str">
        <x:v>masked_overlap</x:v>
      </x:c>
      <x:c r="C69" s="2" t="str">
        <x:v>history.csv</x:v>
      </x:c>
      <x:c r="D69" s="2" t="str">
        <x:v>51d1335c3eeb36a631884b95593405415d84cba2fbc2fae4b5b1223786657ccd</x:v>
      </x:c>
    </x:row>
    <x:row r="70" ht="27" customHeight="1">
      <x:c r="A70" s="2" t="str">
        <x:v>S069</x:v>
      </x:c>
      <x:c r="B70" s="2" t="str">
        <x:v>grid_cap_policy_v1</x:v>
      </x:c>
      <x:c r="C70" s="2" t="str">
        <x:v>results.csv</x:v>
      </x:c>
      <x:c r="D70" s="2" t="str">
        <x:v>60d39906a735a253cf6caa02c795a0583cbb8fb24a4f95bd7d11c337f1f6c8d9</x:v>
      </x:c>
    </x:row>
    <x:row r="71" ht="27" customHeight="1">
      <x:c r="A71" s="2" t="str">
        <x:v>S070</x:v>
      </x:c>
      <x:c r="B71" s="2" t="str">
        <x:v>grid_cap_policy_v1</x:v>
      </x:c>
      <x:c r="C71" s="2" t="str">
        <x:v>protocol.json</x:v>
      </x:c>
      <x:c r="D71" s="2" t="str">
        <x:v>fe308d9beb4edc0168c6ebfb504ce0430abcc09b4b6481b8c71538777323db44</x:v>
      </x:c>
    </x:row>
    <x:row r="72" ht="27" customHeight="1">
      <x:c r="A72" s="2" t="str">
        <x:v>S071</x:v>
      </x:c>
      <x:c r="B72" s="2" t="str">
        <x:v>forecast_2003_seed42</x:v>
      </x:c>
      <x:c r="C72" s="2" t="str">
        <x:v>results.csv</x:v>
      </x:c>
      <x:c r="D72" s="2" t="str">
        <x:v>27eec91e63753943d9dfa96221e918bef8146cf587150960d73ffcae2918fb1b</x:v>
      </x:c>
    </x:row>
    <x:row r="73" ht="27" customHeight="1">
      <x:c r="A73" s="2" t="str">
        <x:v>S072</x:v>
      </x:c>
      <x:c r="B73" s="2" t="str">
        <x:v>forecast_2003_seed42</x:v>
      </x:c>
      <x:c r="C73" s="2" t="str">
        <x:v>protocol.json</x:v>
      </x:c>
      <x:c r="D73" s="2" t="str">
        <x:v>e6d66096981522020a7760126e0f9f95546e99f616e006677911cf6d80bfed54</x:v>
      </x:c>
    </x:row>
    <x:row r="74" ht="27" customHeight="1">
      <x:c r="A74" s="2" t="str">
        <x:v>S073</x:v>
      </x:c>
      <x:c r="B74" s="2" t="str">
        <x:v>mlp</x:v>
      </x:c>
      <x:c r="C74" s="2" t="str">
        <x:v>history.csv</x:v>
      </x:c>
      <x:c r="D74" s="2" t="str">
        <x:v>af0c2b1fcdf7066d8f31d993a6041bc355151f88ea02196e45dd57371b56085d</x:v>
      </x:c>
    </x:row>
    <x:row r="75" ht="27" customHeight="1">
      <x:c r="A75" s="2" t="str">
        <x:v>S074</x:v>
      </x:c>
      <x:c r="B75" s="2" t="str">
        <x:v>persistence</x:v>
      </x:c>
      <x:c r="C75" s="2" t="str">
        <x:v>history.csv</x:v>
      </x:c>
      <x:c r="D75" s="2" t="str">
        <x:v>88631778baf1f30290a0f00ecbb9879da7909ff675aa05e99d1df24e3b53e7c1</x:v>
      </x:c>
    </x:row>
    <x:row r="76" ht="27" customHeight="1">
      <x:c r="A76" s="2" t="str">
        <x:v>S075</x:v>
      </x:c>
      <x:c r="B76" s="2" t="str">
        <x:v>transformer</x:v>
      </x:c>
      <x:c r="C76" s="2" t="str">
        <x:v>history.csv</x:v>
      </x:c>
      <x:c r="D76" s="2" t="str">
        <x:v>53f147c2f0f4e3df1ef76f5c4a026f86650a4ae6264f97faf439eca7e183d5d4</x:v>
      </x:c>
    </x:row>
    <x:row r="77" ht="27" customHeight="1">
      <x:c r="A77" s="2" t="str">
        <x:v>S076</x:v>
      </x:c>
      <x:c r="B77" s="2" t="str">
        <x:v>forecast_residual_2003_seed42</x:v>
      </x:c>
      <x:c r="C77" s="2" t="str">
        <x:v>results.csv</x:v>
      </x:c>
      <x:c r="D77" s="2" t="str">
        <x:v>dd0c085f4d69bfaf8ea83788584e2dc1dc84449932cbc43b71f8b6c9e4c2e2b8</x:v>
      </x:c>
    </x:row>
    <x:row r="78" ht="27" customHeight="1">
      <x:c r="A78" s="2" t="str">
        <x:v>S077</x:v>
      </x:c>
      <x:c r="B78" s="2" t="str">
        <x:v>forecast_residual_2003_seed42</x:v>
      </x:c>
      <x:c r="C78" s="2" t="str">
        <x:v>protocol.json</x:v>
      </x:c>
      <x:c r="D78" s="2" t="str">
        <x:v>e717ab353d7b8d77062fd88c76613c1d9b6afaa37318e5fd4ec722106c4cfd70</x:v>
      </x:c>
    </x:row>
    <x:row r="79" ht="27" customHeight="1">
      <x:c r="A79" s="2" t="str">
        <x:v>S078</x:v>
      </x:c>
      <x:c r="B79" s="2" t="str">
        <x:v>transformer_residual</x:v>
      </x:c>
      <x:c r="C79" s="2" t="str">
        <x:v>history.csv</x:v>
      </x:c>
      <x:c r="D79" s="2" t="str">
        <x:v>80adafe35f6f93d3945c7825b6f1953641a6cc6805fd8e4adb133a6bfe8ca8b8</x:v>
      </x:c>
    </x:row>
    <x:row r="80" ht="27" customHeight="1">
      <x:c r="A80" s="2" t="str">
        <x:v>S079</x:v>
      </x:c>
      <x:c r="B80" s="2" t="str">
        <x:v>causal_alarm_2003_v1</x:v>
      </x:c>
      <x:c r="C80" s="2" t="str">
        <x:v>results.csv</x:v>
      </x:c>
      <x:c r="D80" s="2" t="str">
        <x:v>138238c021b2e145c66978b62b6ab6b5766ceed3acd80f7338f8a54739a0c422</x:v>
      </x:c>
    </x:row>
    <x:row r="81" ht="27" customHeight="1">
      <x:c r="A81" s="2" t="str">
        <x:v>S080</x:v>
      </x:c>
      <x:c r="B81" s="2" t="str">
        <x:v>causal_alarm_2003_v1</x:v>
      </x:c>
      <x:c r="C81" s="2" t="str">
        <x:v>protocol.json</x:v>
      </x:c>
      <x:c r="D81" s="2" t="str">
        <x:v>ca804ea813e99ee4f7f1bd2556d81a9d7f46eaba97149af4985af03c360a2694</x:v>
      </x:c>
    </x:row>
    <x:row r="82" ht="27" customHeight="1">
      <x:c r="A82" s="2" t="str">
        <x:v>S081</x:v>
      </x:c>
      <x:c r="B82" s="2" t="str">
        <x:v>ch40_47_train2000_2005_seed42</x:v>
      </x:c>
      <x:c r="C82" s="2" t="str">
        <x:v>pooled_results.csv</x:v>
      </x:c>
      <x:c r="D82" s="2" t="str">
        <x:v>89d2cad075b23370be699ca138197d7219ffd78ac4ce735b52ddb83074a19dd0</x:v>
      </x:c>
    </x:row>
    <x:row r="83" ht="27" customHeight="1">
      <x:c r="A83" s="2" t="str">
        <x:v>S082</x:v>
      </x:c>
      <x:c r="B83" s="2" t="str">
        <x:v>ch40_47_train2000_2005_seed42</x:v>
      </x:c>
      <x:c r="C83" s="2" t="str">
        <x:v>protocol.json</x:v>
      </x:c>
      <x:c r="D83" s="2" t="str">
        <x:v>cc423044d810db5b796de7752053684de09bb3f1bca922854880cca2b3971a42</x:v>
      </x:c>
    </x:row>
    <x:row r="84" ht="27" customHeight="1">
      <x:c r="A84" s="2" t="str">
        <x:v>S083</x:v>
      </x:c>
      <x:c r="B84" s="2" t="str">
        <x:v>full_period</x:v>
      </x:c>
      <x:c r="C84" s="2" t="str">
        <x:v>history.csv</x:v>
      </x:c>
      <x:c r="D84" s="2" t="str">
        <x:v>bdc20eee218a1da029a4b3b0b3495691aeff47cdb6d399db106e838259a669c5</x:v>
      </x:c>
    </x:row>
    <x:row r="85" ht="27" customHeight="1">
      <x:c r="A85" s="2" t="str">
        <x:v>S084</x:v>
      </x:c>
      <x:c r="B85" s="2" t="str">
        <x:v>ch40_47_train2000_2005_seed42</x:v>
      </x:c>
      <x:c r="C85" s="2" t="str">
        <x:v>yearly_results.csv</x:v>
      </x:c>
      <x:c r="D85" s="2" t="str">
        <x:v>24c4d0ee1700c29bdd6f6712a2d7d0843588a0476f5d79c95c9376ad06ee6de9</x:v>
      </x:c>
    </x:row>
    <x:row r="86" ht="27" customHeight="1">
      <x:c r="A86" s="2" t="str">
        <x:v>S085</x:v>
      </x:c>
      <x:c r="B86" s="2" t="str">
        <x:v>ch40_47_dual_scope_v1</x:v>
      </x:c>
      <x:c r="C86" s="2" t="str">
        <x:v>results.csv</x:v>
      </x:c>
      <x:c r="D86" s="2" t="str">
        <x:v>2fbed711ea97a032175137b69f9e57958ee56c176e2009970be0f77b572b7b4f</x:v>
      </x:c>
    </x:row>
    <x:row r="87" ht="27" customHeight="1">
      <x:c r="A87" s="2" t="str">
        <x:v>S086</x:v>
      </x:c>
      <x:c r="B87" s="2" t="str">
        <x:v>full_period_seed42_v1</x:v>
      </x:c>
      <x:c r="C87" s="2" t="str">
        <x:v>pooled_results.csv</x:v>
      </x:c>
      <x:c r="D87" s="2" t="str">
        <x:v>74db3e29c0e90ce570a8f4837a01a39b1ae945f31ab08da29d09eb7efedd4301</x:v>
      </x:c>
    </x:row>
    <x:row r="88" ht="27" customHeight="1">
      <x:c r="A88" s="2" t="str">
        <x:v>S087</x:v>
      </x:c>
      <x:c r="B88" s="2" t="str">
        <x:v>full_period_seed42_v1</x:v>
      </x:c>
      <x:c r="C88" s="2" t="str">
        <x:v>protocol.json</x:v>
      </x:c>
      <x:c r="D88" s="2" t="str">
        <x:v>4f350ec761134d7e93f61a6b598b663925d4484efabe9bcddf1f0bcb5c52e2bb</x:v>
      </x:c>
    </x:row>
    <x:row r="89" ht="27" customHeight="1">
      <x:c r="A89" s="2" t="str">
        <x:v>S088</x:v>
      </x:c>
      <x:c r="B89" s="2" t="str">
        <x:v>control</x:v>
      </x:c>
      <x:c r="C89" s="2" t="str">
        <x:v>history.csv</x:v>
      </x:c>
      <x:c r="D89" s="2" t="str">
        <x:v>b50a4e7b9a8f228cf201d2c58836db4dec98c234ea20a06385ab4d58602f07fc</x:v>
      </x:c>
    </x:row>
    <x:row r="90" ht="27" customHeight="1">
      <x:c r="A90" s="2" t="str">
        <x:v>S089</x:v>
      </x:c>
      <x:c r="B90" s="2" t="str">
        <x:v>observation_age</x:v>
      </x:c>
      <x:c r="C90" s="2" t="str">
        <x:v>history.csv</x:v>
      </x:c>
      <x:c r="D90" s="2" t="str">
        <x:v>d1823636a3455566f2c91b013b4f05b4c91ad5b06499e2fd026190ee494304fa</x:v>
      </x:c>
    </x:row>
    <x:row r="91" ht="27" customHeight="1">
      <x:c r="A91" s="2" t="str">
        <x:v>S090</x:v>
      </x:c>
      <x:c r="B91" s="2" t="str">
        <x:v>full_period_seed42_v1</x:v>
      </x:c>
      <x:c r="C91" s="2" t="str">
        <x:v>yearly_results.csv</x:v>
      </x:c>
      <x:c r="D91" s="2" t="str">
        <x:v>f0f493b6a1e80a02fc49b4741aa90b33d31b41faec71ba10738d010eb477c471</x:v>
      </x:c>
    </x:row>
    <x:row r="92" ht="27" customHeight="1">
      <x:c r="A92" s="2" t="str">
        <x:v>S091</x:v>
      </x:c>
      <x:c r="B92" s="2" t="str">
        <x:v>paired_v1</x:v>
      </x:c>
      <x:c r="C92" s="2" t="str">
        <x:v>results.csv</x:v>
      </x:c>
      <x:c r="D92" s="2" t="str">
        <x:v>300641bf6d3bca37ac9ecb9df3315dc57888939df78800dac94f368592280e3a</x:v>
      </x:c>
    </x:row>
    <x:row r="93" ht="27" customHeight="1">
      <x:c r="A93" s="2" t="str">
        <x:v>S092</x:v>
      </x:c>
      <x:c r="B93" s="2" t="str">
        <x:v>paired_v1</x:v>
      </x:c>
      <x:c r="C93" s="2" t="str">
        <x:v>protocol.json</x:v>
      </x:c>
      <x:c r="D93" s="2" t="str">
        <x:v>2f2a3c2e399657b409b6530850771c1ca46f01b1c51581052044bd3418292a3d</x:v>
      </x:c>
    </x:row>
    <x:row r="94" ht="27" customHeight="1">
      <x:c r="A94" s="2" t="str">
        <x:v>S093</x:v>
      </x:c>
      <x:c r="B94" s="2" t="str">
        <x:v>f05_corrected_baseline_2026-09-16</x:v>
      </x:c>
      <x:c r="C94" s="2" t="str">
        <x:v>results.csv</x:v>
      </x:c>
      <x:c r="D94" s="2" t="str">
        <x:v>664c40c5fdbebfff64695e12b3967c2e8d95bff0b62d48837b5ce8f652243766</x:v>
      </x:c>
    </x:row>
    <x:row r="95" ht="27" customHeight="1">
      <x:c r="A95" s="2" t="str">
        <x:v>S094</x:v>
      </x:c>
      <x:c r="B95" s="2" t="str">
        <x:v>ch40_47_q99_comparison_v1</x:v>
      </x:c>
      <x:c r="C95" s="2" t="str">
        <x:v>results.csv</x:v>
      </x:c>
      <x:c r="D95" s="2" t="str">
        <x:v>b8931d51debab8726e930ac8bbc101e297dbc175150cac727e1812044727d7b0</x:v>
      </x:c>
    </x:row>
  </x:sheetData>
  <x:pageMargins left="0.7" right="0.7" top="0.75" bottom="0.75" header="0.3" footer="0.3"/>
  <x:tableParts count="1">
    <x:tablePart xmlns:r="http://schemas.openxmlformats.org/officeDocument/2006/relationships" r:id="R05095712ed8a4813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49" hidden="0" customWidth="1"/>
    <x:col min="6" max="6" width="49" hidden="0" customWidth="1"/>
  </x:cols>
  <x:sheetData>
    <x:row r="1" ht="45" customHeight="1">
      <x:c r="A1" s="5" t="str">
        <x:v>Method family</x:v>
      </x:c>
      <x:c r="B1" s="5" t="str">
        <x:v>2003 Apr–Dec</x:v>
      </x:c>
      <x:c r="C1" s="5" t="str">
        <x:v>2004 Apr–Dec</x:v>
      </x:c>
      <x:c r="D1" s="5" t="str">
        <x:v>2005 Apr–Dec</x:v>
      </x:c>
      <x:c r="E1" s="5" t="str">
        <x:v>2007–2013</x:v>
      </x:c>
      <x:c r="F1" s="5" t="str">
        <x:v>Comparison limits</x:v>
      </x:c>
    </x:row>
    <x:row r="2" ht="46" customHeight="1">
      <x:c r="A2" s="6" t="str">
        <x:v>Baseline AE</x:v>
      </x:c>
      <x:c r="B2" s="6" t="str">
        <x:v>Available</x:v>
      </x:c>
      <x:c r="C2" s="6" t="str">
        <x:v>Available</x:v>
      </x:c>
      <x:c r="D2" s="6" t="str">
        <x:v>Available</x:v>
      </x:c>
      <x:c r="E2" s="6" t="str">
        <x:v>Available</x:v>
      </x:c>
      <x:c r="F2" s="6" t="str">
        <x:v>Full run 40 epochs. Development folds separate.</x:v>
      </x:c>
    </x:row>
    <x:row r="3" ht="46" customHeight="1">
      <x:c r="A3" s="6" t="str">
        <x:v>Expanded inputs</x:v>
      </x:c>
      <x:c r="B3" s="6" t="str">
        <x:v>Available</x:v>
      </x:c>
      <x:c r="C3" s="6" t="str">
        <x:v>Available</x:v>
      </x:c>
      <x:c r="D3" s="6" t="str">
        <x:v>Available</x:v>
      </x:c>
      <x:c r="E3" s="6" t="str">
        <x:v>Not run under current full-period protocol</x:v>
      </x:c>
      <x:c r="F3" s="6" t="str">
        <x:v>Historical 40-epoch development</x:v>
      </x:c>
    </x:row>
    <x:row r="4" ht="46" customHeight="1">
      <x:c r="A4" s="6" t="str">
        <x:v>Reconstruction only</x:v>
      </x:c>
      <x:c r="B4" s="6" t="str">
        <x:v>Available</x:v>
      </x:c>
      <x:c r="C4" s="6" t="str">
        <x:v>Available</x:v>
      </x:c>
      <x:c r="D4" s="6" t="str">
        <x:v>Available</x:v>
      </x:c>
      <x:c r="E4" s="6" t="str">
        <x:v>Not run under current full-period protocol</x:v>
      </x:c>
      <x:c r="F4" s="6" t="str">
        <x:v>Historical 40-epoch development</x:v>
      </x:c>
    </x:row>
    <x:row r="5" ht="46" customHeight="1">
      <x:c r="A5" s="6" t="str">
        <x:v>Specialist</x:v>
      </x:c>
      <x:c r="B5" s="6" t="str">
        <x:v>Available</x:v>
      </x:c>
      <x:c r="C5" s="6" t="str">
        <x:v>Available</x:v>
      </x:c>
      <x:c r="D5" s="6" t="str">
        <x:v>Available</x:v>
      </x:c>
      <x:c r="E5" s="6" t="str">
        <x:v>Not run under current full-period protocol</x:v>
      </x:c>
      <x:c r="F5" s="6" t="str">
        <x:v>Historical 40-epoch development</x:v>
      </x:c>
    </x:row>
    <x:row r="6" ht="46" customHeight="1">
      <x:c r="A6" s="6" t="str">
        <x:v>OR combination</x:v>
      </x:c>
      <x:c r="B6" s="6" t="str">
        <x:v>Available</x:v>
      </x:c>
      <x:c r="C6" s="6" t="str">
        <x:v>Available</x:v>
      </x:c>
      <x:c r="D6" s="6" t="str">
        <x:v>Available</x:v>
      </x:c>
      <x:c r="E6" s="6" t="str">
        <x:v>Not run under current full-period protocol</x:v>
      </x:c>
      <x:c r="F6" s="6" t="str">
        <x:v>OR combination</x:v>
      </x:c>
    </x:row>
    <x:row r="7" ht="46" customHeight="1">
      <x:c r="A7" s="6" t="str">
        <x:v>Masking</x:v>
      </x:c>
      <x:c r="B7" s="6" t="str">
        <x:v>Available</x:v>
      </x:c>
      <x:c r="C7" s="6" t="str">
        <x:v>Available</x:v>
      </x:c>
      <x:c r="D7" s="6" t="str">
        <x:v>Available</x:v>
      </x:c>
      <x:c r="E7" s="6" t="str">
        <x:v>Not run under current full-period protocol</x:v>
      </x:c>
      <x:c r="F7" s="6" t="str">
        <x:v>Masking paired</x:v>
      </x:c>
    </x:row>
    <x:row r="8" ht="46" customHeight="1">
      <x:c r="A8" s="6" t="str">
        <x:v>Short augmentation</x:v>
      </x:c>
      <x:c r="B8" s="6" t="str">
        <x:v>Available</x:v>
      </x:c>
      <x:c r="C8" s="6" t="str">
        <x:v>Available</x:v>
      </x:c>
      <x:c r="D8" s="6" t="str">
        <x:v>Available</x:v>
      </x:c>
      <x:c r="E8" s="6" t="str">
        <x:v>Not run under current full-period protocol</x:v>
      </x:c>
      <x:c r="F8" s="6" t="str">
        <x:v>Augmentation paired</x:v>
      </x:c>
    </x:row>
    <x:row r="9" ht="46" customHeight="1">
      <x:c r="A9" s="6" t="str">
        <x:v>No short rolls</x:v>
      </x:c>
      <x:c r="B9" s="6" t="str">
        <x:v>Available</x:v>
      </x:c>
      <x:c r="C9" s="6" t="str">
        <x:v>Available</x:v>
      </x:c>
      <x:c r="D9" s="6" t="str">
        <x:v>Available</x:v>
      </x:c>
      <x:c r="E9" s="6" t="str">
        <x:v>Not run under current full-period protocol</x:v>
      </x:c>
      <x:c r="F9" s="6" t="str">
        <x:v>No short rolls paired</x:v>
      </x:c>
    </x:row>
    <x:row r="10" ht="46" customHeight="1">
      <x:c r="A10" s="6" t="str">
        <x:v>Masked overlap</x:v>
      </x:c>
      <x:c r="B10" s="6" t="str">
        <x:v>Not run</x:v>
      </x:c>
      <x:c r="C10" s="6" t="str">
        <x:v>Available</x:v>
      </x:c>
      <x:c r="D10" s="6" t="str">
        <x:v>Not run</x:v>
      </x:c>
      <x:c r="E10" s="6" t="str">
        <x:v>Not run under current full-period protocol</x:v>
      </x:c>
      <x:c r="F10" s="6" t="str">
        <x:v>Masked overlap paired</x:v>
      </x:c>
    </x:row>
    <x:row r="11" ht="46" customHeight="1">
      <x:c r="A11" s="6" t="str">
        <x:v>Dense grid/cap</x:v>
      </x:c>
      <x:c r="B11" s="6" t="str">
        <x:v>Available</x:v>
      </x:c>
      <x:c r="C11" s="6" t="str">
        <x:v>Available</x:v>
      </x:c>
      <x:c r="D11" s="6" t="str">
        <x:v>Available</x:v>
      </x:c>
      <x:c r="E11" s="6" t="str">
        <x:v>Not run under current full-period protocol</x:v>
      </x:c>
      <x:c r="F11" s="6" t="str">
        <x:v>Threshold policy</x:v>
      </x:c>
    </x:row>
    <x:row r="12" ht="46" customHeight="1">
      <x:c r="A12" s="6" t="str">
        <x:v>Forecasting</x:v>
      </x:c>
      <x:c r="B12" s="6" t="str">
        <x:v>Available</x:v>
      </x:c>
      <x:c r="C12" s="6" t="str">
        <x:v>Not run</x:v>
      </x:c>
      <x:c r="D12" s="6" t="str">
        <x:v>Not run</x:v>
      </x:c>
      <x:c r="E12" s="6" t="str">
        <x:v>Not run under current full-period protocol</x:v>
      </x:c>
      <x:c r="F12" s="6" t="str">
        <x:v>Forecasting</x:v>
      </x:c>
    </x:row>
    <x:row r="13" ht="46" customHeight="1">
      <x:c r="A13" s="6" t="str">
        <x:v>Observation age</x:v>
      </x:c>
      <x:c r="B13" s="6" t="str">
        <x:v>Not run</x:v>
      </x:c>
      <x:c r="C13" s="6" t="str">
        <x:v>Not run</x:v>
      </x:c>
      <x:c r="D13" s="6" t="str">
        <x:v>Not run</x:v>
      </x:c>
      <x:c r="E13" s="6" t="str">
        <x:v>Available</x:v>
      </x:c>
      <x:c r="F13" s="6" t="str">
        <x:v>Timing comparison</x:v>
      </x:c>
    </x:row>
  </x:sheetData>
  <x:pageMargins left="0.7" right="0.7" top="0.75" bottom="0.75" header="0.3" footer="0.3"/>
  <x:tableParts count="1">
    <x:tablePart xmlns:r="http://schemas.openxmlformats.org/officeDocument/2006/relationships" r:id="R72598bd31ee6459b"/>
  </x:tableParts>
</x:worksheet>
</file>