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91432e47c843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results" sheetId="1" r:id="R0a7b168d46fa4f0f"/>
    <x:sheet xmlns:r="http://schemas.openxmlformats.org/officeDocument/2006/relationships" name="Summary" sheetId="2" r:id="Rd35df82d121843e6"/>
    <x:sheet xmlns:r="http://schemas.openxmlformats.org/officeDocument/2006/relationships" name="Paired seeds" sheetId="3" r:id="Rd098b199e9084978"/>
    <x:sheet xmlns:r="http://schemas.openxmlformats.org/officeDocument/2006/relationships" name="Protocol and findings" sheetId="4" r:id="R01ff66e0d1074b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.000"/>
    <x:numFmt numFmtId="202" formatCode="0.0000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E50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ecb1c4160f4322" /><Relationship Type="http://schemas.openxmlformats.org/officeDocument/2006/relationships/theme" Target="/xl/theme/theme1.xml" Id="R407ec37a16374cf9" /><Relationship Type="http://schemas.openxmlformats.org/officeDocument/2006/relationships/sharedStrings" Target="/xl/sharedStrings.xml" Id="Rd00fa2ea0b07438b" /><Relationship Type="http://schemas.openxmlformats.org/officeDocument/2006/relationships/worksheet" Target="/xl/worksheets/sheet1.xml" Id="R0a7b168d46fa4f0f" /><Relationship Type="http://schemas.openxmlformats.org/officeDocument/2006/relationships/worksheet" Target="/xl/worksheets/sheet2.xml" Id="Rd35df82d121843e6" /><Relationship Type="http://schemas.openxmlformats.org/officeDocument/2006/relationships/worksheet" Target="/xl/worksheets/sheet3.xml" Id="Rd098b199e9084978" /><Relationship Type="http://schemas.openxmlformats.org/officeDocument/2006/relationships/worksheet" Target="/xl/worksheets/sheet4.xml" Id="R01ff66e0d1074b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d77450de7bb422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System F0.5: mean of seeds 42, 43 and 44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With short rolls</c:v>
          </c:tx>
          <c:spPr>
            <a:solidFill xmlns:a="http://schemas.openxmlformats.org/drawingml/2006/main">
              <a:srgbClr val="3569A2"/>
            </a:solidFill>
          </c:spPr>
          <c:cat>
            <c:strRef>
              <c:f>'Summary'!$B$11:$B$13</c:f>
              <c:strCache>
                <c:ptCount val="0"/>
              </c:strCache>
            </c:strRef>
          </c:cat>
          <c:val>
            <c:numRef>
              <c:f>'Summary'!$C$11:$C$13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Without short rolls</c:v>
          </c:tx>
          <c:spPr>
            <a:solidFill xmlns:a="http://schemas.openxmlformats.org/drawingml/2006/main">
              <a:srgbClr val="DF8739"/>
            </a:solidFill>
          </c:spPr>
          <c:cat>
            <c:strRef>
              <c:f>'Summary'!$B$11:$B$13</c:f>
              <c:strCache>
                <c:ptCount val="0"/>
              </c:strCache>
            </c:strRef>
          </c:cat>
          <c:val>
            <c:numRef>
              <c:f>'Summary'!$D$11:$D$13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7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77450de7bb422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c97f3903bc14e7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2" hidden="0" customWidth="1"/>
    <x:col min="3" max="3" width="12" hidden="0" customWidth="1"/>
    <x:col min="4" max="4" width="27" hidden="0" customWidth="1"/>
    <x:col min="5" max="5" width="15" hidden="0" customWidth="1"/>
    <x:col min="6" max="6" width="23" hidden="0" customWidth="1"/>
    <x:col min="7" max="7" width="23" hidden="0" customWidth="1"/>
    <x:col min="8" max="8" width="22" hidden="0" customWidth="1"/>
    <x:col min="9" max="9" width="22" hidden="0" customWidth="1"/>
    <x:col min="10" max="10" width="15" hidden="0" customWidth="1"/>
    <x:col min="11" max="11" width="15" hidden="0" customWidth="1"/>
    <x:col min="12" max="12" width="15" hidden="0" customWidth="1"/>
    <x:col min="13" max="13" width="26" hidden="0" customWidth="1"/>
    <x:col min="14" max="14" width="26" hidden="0" customWidth="1"/>
    <x:col min="15" max="15" width="30" hidden="0" customWidth="1"/>
  </x:cols>
  <x:sheetData>
    <x:row r="1" ht="45" customHeight="1">
      <x:c r="A1" s="5" t="str">
        <x:v>scope</x:v>
      </x:c>
      <x:c r="B1" s="5" t="str">
        <x:v>fold</x:v>
      </x:c>
      <x:c r="C1" s="5" t="str">
        <x:v>seed</x:v>
      </x:c>
      <x:c r="D1" s="5" t="str">
        <x:v>model</x:v>
      </x:c>
      <x:c r="E1" s="5" t="str">
        <x:v>epoch</x:v>
      </x:c>
      <x:c r="F1" s="5" t="str">
        <x:v>calibration_f05</x:v>
      </x:c>
      <x:c r="G1" s="5" t="str">
        <x:v>EW_F_0.50</x:v>
      </x:c>
      <x:c r="H1" s="5" t="str">
        <x:v>EW_precision</x:v>
      </x:c>
      <x:c r="I1" s="5" t="str">
        <x:v>EW_recall</x:v>
      </x:c>
      <x:c r="J1" s="5" t="str">
        <x:v>TPe</x:v>
      </x:c>
      <x:c r="K1" s="5" t="str">
        <x:v>FPe</x:v>
      </x:c>
      <x:c r="L1" s="5" t="str">
        <x:v>FNe</x:v>
      </x:c>
      <x:c r="M1" s="5" t="str">
        <x:v>false_positive_seconds</x:v>
      </x:c>
      <x:c r="N1" s="5" t="str">
        <x:v>nominal_seconds</x:v>
      </x:c>
      <x:c r="O1" s="5" t="str">
        <x:v>metric_version</x:v>
      </x:c>
    </x:row>
    <x:row r="2" ht="28" customHeight="1">
      <x:c r="A2" s="1" t="str">
        <x:v>system_all_channels</x:v>
      </x:c>
      <x:c r="B2" s="1" t="n">
        <x:v>2003</x:v>
      </x:c>
      <x:c r="C2" s="1" t="n">
        <x:v>42</x:v>
      </x:c>
      <x:c r="D2" s="1" t="str">
        <x:v>short_coordinated</x:v>
      </x:c>
      <x:c r="E2" s="1" t="n">
        <x:v>1</x:v>
      </x:c>
      <x:c r="F2" s="6" t="n">
        <x:v>0.7142857142857143</x:v>
      </x:c>
      <x:c r="G2" s="6" t="n">
        <x:v>0.7142841320076883</x:v>
      </x:c>
      <x:c r="H2" s="6" t="n">
        <x:v>0.9999961234252768</x:v>
      </x:c>
      <x:c r="I2" s="6" t="n">
        <x:v>0.3333333333333333</x:v>
      </x:c>
      <x:c r="J2" s="1" t="n">
        <x:v>2</x:v>
      </x:c>
      <x:c r="K2" s="1" t="n">
        <x:v>0</x:v>
      </x:c>
      <x:c r="L2" s="1" t="n">
        <x:v>4</x:v>
      </x:c>
      <x:c r="M2" s="7" t="n">
        <x:v>85.212</x:v>
      </x:c>
      <x:c r="N2" s="7" t="n">
        <x:v>21981260.799</x:v>
      </x:c>
      <x:c r="O2" s="1" t="str">
        <x:v>esa-ew-id-duration-v1</x:v>
      </x:c>
    </x:row>
    <x:row r="3" ht="28" customHeight="1">
      <x:c r="A3" s="1" t="str">
        <x:v>input_channels_40_47</x:v>
      </x:c>
      <x:c r="B3" s="1" t="n">
        <x:v>2003</x:v>
      </x:c>
      <x:c r="C3" s="1" t="n">
        <x:v>42</x:v>
      </x:c>
      <x:c r="D3" s="1" t="str">
        <x:v>short_coordinated</x:v>
      </x:c>
      <x:c r="E3" s="1" t="n">
        <x:v>1</x:v>
      </x:c>
      <x:c r="F3" s="6" t="n">
        <x:v>0.7142857142857143</x:v>
      </x:c>
      <x:c r="G3" s="6" t="n">
        <x:v>0.7142841320076883</x:v>
      </x:c>
      <x:c r="H3" s="6" t="n">
        <x:v>0.9999961234252768</x:v>
      </x:c>
      <x:c r="I3" s="6" t="n">
        <x:v>0.3333333333333333</x:v>
      </x:c>
      <x:c r="J3" s="1" t="n">
        <x:v>2</x:v>
      </x:c>
      <x:c r="K3" s="1" t="n">
        <x:v>0</x:v>
      </x:c>
      <x:c r="L3" s="1" t="n">
        <x:v>4</x:v>
      </x:c>
      <x:c r="M3" s="7" t="n">
        <x:v>85.212</x:v>
      </x:c>
      <x:c r="N3" s="7" t="n">
        <x:v>21981260.799</x:v>
      </x:c>
      <x:c r="O3" s="1" t="str">
        <x:v>esa-ew-id-duration-v1</x:v>
      </x:c>
    </x:row>
    <x:row r="4" ht="28" customHeight="1">
      <x:c r="A4" s="1" t="str">
        <x:v>system_all_channels</x:v>
      </x:c>
      <x:c r="B4" s="1" t="n">
        <x:v>2003</x:v>
      </x:c>
      <x:c r="C4" s="1" t="n">
        <x:v>42</x:v>
      </x:c>
      <x:c r="D4" s="1" t="str">
        <x:v>short_no_roll</x:v>
      </x:c>
      <x:c r="E4" s="1" t="n">
        <x:v>2</x:v>
      </x:c>
      <x:c r="F4" s="6" t="n">
        <x:v>0.7142857142857143</x:v>
      </x:c>
      <x:c r="G4" s="6" t="n">
        <x:v>0.8327631864538698</x:v>
      </x:c>
      <x:c r="H4" s="6" t="n">
        <x:v>0.8326207716134564</x:v>
      </x:c>
      <x:c r="I4" s="6" t="n">
        <x:v>0.8333333333333334</x:v>
      </x:c>
      <x:c r="J4" s="1" t="n">
        <x:v>5</x:v>
      </x:c>
      <x:c r="K4" s="1" t="n">
        <x:v>1</x:v>
      </x:c>
      <x:c r="L4" s="1" t="n">
        <x:v>1</x:v>
      </x:c>
      <x:c r="M4" s="7" t="n">
        <x:v>18795.606</x:v>
      </x:c>
      <x:c r="N4" s="7" t="n">
        <x:v>21981260.799</x:v>
      </x:c>
      <x:c r="O4" s="1" t="str">
        <x:v>esa-ew-id-duration-v1</x:v>
      </x:c>
    </x:row>
    <x:row r="5" ht="28" customHeight="1">
      <x:c r="A5" s="1" t="str">
        <x:v>input_channels_40_47</x:v>
      </x:c>
      <x:c r="B5" s="1" t="n">
        <x:v>2003</x:v>
      </x:c>
      <x:c r="C5" s="1" t="n">
        <x:v>42</x:v>
      </x:c>
      <x:c r="D5" s="1" t="str">
        <x:v>short_no_roll</x:v>
      </x:c>
      <x:c r="E5" s="1" t="n">
        <x:v>2</x:v>
      </x:c>
      <x:c r="F5" s="6" t="n">
        <x:v>0.7142857142857143</x:v>
      </x:c>
      <x:c r="G5" s="6" t="n">
        <x:v>0.8327631864538698</x:v>
      </x:c>
      <x:c r="H5" s="6" t="n">
        <x:v>0.8326207716134564</x:v>
      </x:c>
      <x:c r="I5" s="6" t="n">
        <x:v>0.8333333333333334</x:v>
      </x:c>
      <x:c r="J5" s="1" t="n">
        <x:v>5</x:v>
      </x:c>
      <x:c r="K5" s="1" t="n">
        <x:v>1</x:v>
      </x:c>
      <x:c r="L5" s="1" t="n">
        <x:v>1</x:v>
      </x:c>
      <x:c r="M5" s="7" t="n">
        <x:v>18795.606</x:v>
      </x:c>
      <x:c r="N5" s="7" t="n">
        <x:v>21981260.799</x:v>
      </x:c>
      <x:c r="O5" s="1" t="str">
        <x:v>esa-ew-id-duration-v1</x:v>
      </x:c>
    </x:row>
    <x:row r="6" ht="28" customHeight="1">
      <x:c r="A6" s="1" t="str">
        <x:v>system_all_channels</x:v>
      </x:c>
      <x:c r="B6" s="1" t="n">
        <x:v>2004</x:v>
      </x:c>
      <x:c r="C6" s="1" t="n">
        <x:v>42</x:v>
      </x:c>
      <x:c r="D6" s="1" t="str">
        <x:v>short_coordinated</x:v>
      </x:c>
      <x:c r="E6" s="1" t="n">
        <x:v>1</x:v>
      </x:c>
      <x:c r="F6" s="6" t="n">
        <x:v>0</x:v>
      </x:c>
      <x:c r="G6" s="6" t="n">
        <x:v>0.3778452668160633</x:v>
      </x:c>
      <x:c r="H6" s="6" t="n">
        <x:v>0.3560958688899843</x:v>
      </x:c>
      <x:c r="I6" s="6" t="n">
        <x:v>0.5</x:v>
      </x:c>
      <x:c r="J6" s="1" t="n">
        <x:v>5</x:v>
      </x:c>
      <x:c r="K6" s="1" t="n">
        <x:v>9</x:v>
      </x:c>
      <x:c r="L6" s="1" t="n">
        <x:v>5</x:v>
      </x:c>
      <x:c r="M6" s="7" t="n">
        <x:v>62900.313</x:v>
      </x:c>
      <x:c r="N6" s="7" t="n">
        <x:v>21456207.783</x:v>
      </x:c>
      <x:c r="O6" s="1" t="str">
        <x:v>esa-ew-id-duration-v1</x:v>
      </x:c>
    </x:row>
    <x:row r="7" ht="28" customHeight="1">
      <x:c r="A7" s="1" t="str">
        <x:v>input_channels_40_47</x:v>
      </x:c>
      <x:c r="B7" s="1" t="n">
        <x:v>2004</x:v>
      </x:c>
      <x:c r="C7" s="1" t="n">
        <x:v>42</x:v>
      </x:c>
      <x:c r="D7" s="1" t="str">
        <x:v>short_coordinated</x:v>
      </x:c>
      <x:c r="E7" s="1" t="n">
        <x:v>1</x:v>
      </x:c>
      <x:c r="F7" s="6" t="n">
        <x:v>0</x:v>
      </x:c>
      <x:c r="G7" s="6" t="n">
        <x:v>0.3957909974188373</x:v>
      </x:c>
      <x:c r="H7" s="6" t="n">
        <x:v>0.3560958688899843</x:v>
      </x:c>
      <x:c r="I7" s="6" t="n">
        <x:v>0.7142857142857143</x:v>
      </x:c>
      <x:c r="J7" s="1" t="n">
        <x:v>5</x:v>
      </x:c>
      <x:c r="K7" s="1" t="n">
        <x:v>9</x:v>
      </x:c>
      <x:c r="L7" s="1" t="n">
        <x:v>2</x:v>
      </x:c>
      <x:c r="M7" s="7" t="n">
        <x:v>62900.313</x:v>
      </x:c>
      <x:c r="N7" s="7" t="n">
        <x:v>21456207.783</x:v>
      </x:c>
      <x:c r="O7" s="1" t="str">
        <x:v>esa-ew-id-duration-v1</x:v>
      </x:c>
    </x:row>
    <x:row r="8" ht="28" customHeight="1">
      <x:c r="A8" s="1" t="str">
        <x:v>system_all_channels</x:v>
      </x:c>
      <x:c r="B8" s="1" t="n">
        <x:v>2004</x:v>
      </x:c>
      <x:c r="C8" s="1" t="n">
        <x:v>42</x:v>
      </x:c>
      <x:c r="D8" s="1" t="str">
        <x:v>short_no_roll</x:v>
      </x:c>
      <x:c r="E8" s="1" t="n">
        <x:v>1</x:v>
      </x:c>
      <x:c r="F8" s="6" t="n">
        <x:v>0</x:v>
      </x:c>
      <x:c r="G8" s="6" t="n">
        <x:v>0.5261337504572453</x:v>
      </x:c>
      <x:c r="H8" s="6" t="n">
        <x:v>0.5711603756397523</x:v>
      </x:c>
      <x:c r="I8" s="6" t="n">
        <x:v>0.4</x:v>
      </x:c>
      <x:c r="J8" s="1" t="n">
        <x:v>4</x:v>
      </x:c>
      <x:c r="K8" s="1" t="n">
        <x:v>3</x:v>
      </x:c>
      <x:c r="L8" s="1" t="n">
        <x:v>6</x:v>
      </x:c>
      <x:c r="M8" s="7" t="n">
        <x:v>10070.313</x:v>
      </x:c>
      <x:c r="N8" s="7" t="n">
        <x:v>21456207.783</x:v>
      </x:c>
      <x:c r="O8" s="1" t="str">
        <x:v>esa-ew-id-duration-v1</x:v>
      </x:c>
    </x:row>
    <x:row r="9" ht="28" customHeight="1">
      <x:c r="A9" s="1" t="str">
        <x:v>input_channels_40_47</x:v>
      </x:c>
      <x:c r="B9" s="1" t="n">
        <x:v>2004</x:v>
      </x:c>
      <x:c r="C9" s="1" t="n">
        <x:v>42</x:v>
      </x:c>
      <x:c r="D9" s="1" t="str">
        <x:v>short_no_roll</x:v>
      </x:c>
      <x:c r="E9" s="1" t="n">
        <x:v>1</x:v>
      </x:c>
      <x:c r="F9" s="6" t="n">
        <x:v>0</x:v>
      </x:c>
      <x:c r="G9" s="6" t="n">
        <x:v>0.5712139946555107</x:v>
      </x:c>
      <x:c r="H9" s="6" t="n">
        <x:v>0.5711603756397523</x:v>
      </x:c>
      <x:c r="I9" s="6" t="n">
        <x:v>0.5714285714285714</x:v>
      </x:c>
      <x:c r="J9" s="1" t="n">
        <x:v>4</x:v>
      </x:c>
      <x:c r="K9" s="1" t="n">
        <x:v>3</x:v>
      </x:c>
      <x:c r="L9" s="1" t="n">
        <x:v>3</x:v>
      </x:c>
      <x:c r="M9" s="7" t="n">
        <x:v>10070.313</x:v>
      </x:c>
      <x:c r="N9" s="7" t="n">
        <x:v>21456207.783</x:v>
      </x:c>
      <x:c r="O9" s="1" t="str">
        <x:v>esa-ew-id-duration-v1</x:v>
      </x:c>
    </x:row>
    <x:row r="10" ht="28" customHeight="1">
      <x:c r="A10" s="1" t="str">
        <x:v>system_all_channels</x:v>
      </x:c>
      <x:c r="B10" s="1" t="n">
        <x:v>2005</x:v>
      </x:c>
      <x:c r="C10" s="1" t="n">
        <x:v>42</x:v>
      </x:c>
      <x:c r="D10" s="1" t="str">
        <x:v>short_coordinated</x:v>
      </x:c>
      <x:c r="E10" s="1" t="n">
        <x:v>1</x:v>
      </x:c>
      <x:c r="F10" s="6" t="n">
        <x:v>0.8328804736937059</x:v>
      </x:c>
      <x:c r="G10" s="6" t="n">
        <x:v>0.9993655471300382</x:v>
      </x:c>
      <x:c r="H10" s="6" t="n">
        <x:v>0.9992070596833628</x:v>
      </x:c>
      <x:c r="I10" s="6" t="n">
        <x:v>1</x:v>
      </x:c>
      <x:c r="J10" s="1" t="n">
        <x:v>7</x:v>
      </x:c>
      <x:c r="K10" s="1" t="n">
        <x:v>0</x:v>
      </x:c>
      <x:c r="L10" s="1" t="n">
        <x:v>0</x:v>
      </x:c>
      <x:c r="M10" s="7" t="n">
        <x:v>15224.184</x:v>
      </x:c>
      <x:c r="N10" s="7" t="n">
        <x:v>19199659.395</x:v>
      </x:c>
      <x:c r="O10" s="1" t="str">
        <x:v>esa-ew-id-duration-v1</x:v>
      </x:c>
    </x:row>
    <x:row r="11" ht="28" customHeight="1">
      <x:c r="A11" s="1" t="str">
        <x:v>input_channels_40_47</x:v>
      </x:c>
      <x:c r="B11" s="1" t="n">
        <x:v>2005</x:v>
      </x:c>
      <x:c r="C11" s="1" t="n">
        <x:v>42</x:v>
      </x:c>
      <x:c r="D11" s="1" t="str">
        <x:v>short_coordinated</x:v>
      </x:c>
      <x:c r="E11" s="1" t="n">
        <x:v>1</x:v>
      </x:c>
      <x:c r="F11" s="6" t="n">
        <x:v>0.8328804736937059</x:v>
      </x:c>
      <x:c r="G11" s="6" t="n">
        <x:v>0.9993655471300382</x:v>
      </x:c>
      <x:c r="H11" s="6" t="n">
        <x:v>0.9992070596833628</x:v>
      </x:c>
      <x:c r="I11" s="6" t="n">
        <x:v>1</x:v>
      </x:c>
      <x:c r="J11" s="1" t="n">
        <x:v>7</x:v>
      </x:c>
      <x:c r="K11" s="1" t="n">
        <x:v>0</x:v>
      </x:c>
      <x:c r="L11" s="1" t="n">
        <x:v>0</x:v>
      </x:c>
      <x:c r="M11" s="7" t="n">
        <x:v>15224.184</x:v>
      </x:c>
      <x:c r="N11" s="7" t="n">
        <x:v>19199659.395</x:v>
      </x:c>
      <x:c r="O11" s="1" t="str">
        <x:v>esa-ew-id-duration-v1</x:v>
      </x:c>
    </x:row>
    <x:row r="12" ht="28" customHeight="1">
      <x:c r="A12" s="1" t="str">
        <x:v>system_all_channels</x:v>
      </x:c>
      <x:c r="B12" s="1" t="n">
        <x:v>2005</x:v>
      </x:c>
      <x:c r="C12" s="1" t="n">
        <x:v>42</x:v>
      </x:c>
      <x:c r="D12" s="1" t="str">
        <x:v>short_no_roll</x:v>
      </x:c>
      <x:c r="E12" s="1" t="n">
        <x:v>1</x:v>
      </x:c>
      <x:c r="F12" s="6" t="n">
        <x:v>0.8328804736937059</x:v>
      </x:c>
      <x:c r="G12" s="6" t="n">
        <x:v>0.9671852173337772</x:v>
      </x:c>
      <x:c r="H12" s="6" t="n">
        <x:v>0.9992570605703706</x:v>
      </x:c>
      <x:c r="I12" s="6" t="n">
        <x:v>0.8571428571428571</x:v>
      </x:c>
      <x:c r="J12" s="1" t="n">
        <x:v>6</x:v>
      </x:c>
      <x:c r="K12" s="1" t="n">
        <x:v>0</x:v>
      </x:c>
      <x:c r="L12" s="1" t="n">
        <x:v>1</x:v>
      </x:c>
      <x:c r="M12" s="7" t="n">
        <x:v>14264.184</x:v>
      </x:c>
      <x:c r="N12" s="7" t="n">
        <x:v>19199659.395</x:v>
      </x:c>
      <x:c r="O12" s="1" t="str">
        <x:v>esa-ew-id-duration-v1</x:v>
      </x:c>
    </x:row>
    <x:row r="13" ht="28" customHeight="1">
      <x:c r="A13" s="1" t="str">
        <x:v>input_channels_40_47</x:v>
      </x:c>
      <x:c r="B13" s="1" t="n">
        <x:v>2005</x:v>
      </x:c>
      <x:c r="C13" s="1" t="n">
        <x:v>42</x:v>
      </x:c>
      <x:c r="D13" s="1" t="str">
        <x:v>short_no_roll</x:v>
      </x:c>
      <x:c r="E13" s="1" t="n">
        <x:v>1</x:v>
      </x:c>
      <x:c r="F13" s="6" t="n">
        <x:v>0.8328804736937059</x:v>
      </x:c>
      <x:c r="G13" s="6" t="n">
        <x:v>0.9254162671072164</x:v>
      </x:c>
      <x:c r="H13" s="6" t="n">
        <x:v>0.9992570605703706</x:v>
      </x:c>
      <x:c r="I13" s="6" t="n">
        <x:v>0.7142857142857143</x:v>
      </x:c>
      <x:c r="J13" s="1" t="n">
        <x:v>5</x:v>
      </x:c>
      <x:c r="K13" s="1" t="n">
        <x:v>0</x:v>
      </x:c>
      <x:c r="L13" s="1" t="n">
        <x:v>2</x:v>
      </x:c>
      <x:c r="M13" s="7" t="n">
        <x:v>14264.184</x:v>
      </x:c>
      <x:c r="N13" s="7" t="n">
        <x:v>19199659.395</x:v>
      </x:c>
      <x:c r="O13" s="1" t="str">
        <x:v>esa-ew-id-duration-v1</x:v>
      </x:c>
    </x:row>
    <x:row r="14" ht="28" customHeight="1">
      <x:c r="A14" s="1" t="str">
        <x:v>system_all_channels</x:v>
      </x:c>
      <x:c r="B14" s="1" t="n">
        <x:v>2003</x:v>
      </x:c>
      <x:c r="C14" s="1" t="n">
        <x:v>43</x:v>
      </x:c>
      <x:c r="D14" s="1" t="str">
        <x:v>short_coordinated</x:v>
      </x:c>
      <x:c r="E14" s="1" t="n">
        <x:v>1</x:v>
      </x:c>
      <x:c r="F14" s="6" t="n">
        <x:v>0.7142857142857143</x:v>
      </x:c>
      <x:c r="G14" s="6" t="n">
        <x:v>0.9612936267899936</x:v>
      </x:c>
      <x:c r="H14" s="6" t="n">
        <x:v>0.9996690087039808</x:v>
      </x:c>
      <x:c r="I14" s="6" t="n">
        <x:v>0.8333333333333334</x:v>
      </x:c>
      <x:c r="J14" s="1" t="n">
        <x:v>5</x:v>
      </x:c>
      <x:c r="K14" s="1" t="n">
        <x:v>0</x:v>
      </x:c>
      <x:c r="L14" s="1" t="n">
        <x:v>1</x:v>
      </x:c>
      <x:c r="M14" s="7" t="n">
        <x:v>7275.606</x:v>
      </x:c>
      <x:c r="N14" s="7" t="n">
        <x:v>21981260.799</x:v>
      </x:c>
      <x:c r="O14" s="1" t="str">
        <x:v>esa-ew-id-duration-v1</x:v>
      </x:c>
    </x:row>
    <x:row r="15" ht="28" customHeight="1">
      <x:c r="A15" s="1" t="str">
        <x:v>input_channels_40_47</x:v>
      </x:c>
      <x:c r="B15" s="1" t="n">
        <x:v>2003</x:v>
      </x:c>
      <x:c r="C15" s="1" t="n">
        <x:v>43</x:v>
      </x:c>
      <x:c r="D15" s="1" t="str">
        <x:v>short_coordinated</x:v>
      </x:c>
      <x:c r="E15" s="1" t="n">
        <x:v>1</x:v>
      </x:c>
      <x:c r="F15" s="6" t="n">
        <x:v>0.7142857142857143</x:v>
      </x:c>
      <x:c r="G15" s="6" t="n">
        <x:v>0.9612936267899936</x:v>
      </x:c>
      <x:c r="H15" s="6" t="n">
        <x:v>0.9996690087039808</x:v>
      </x:c>
      <x:c r="I15" s="6" t="n">
        <x:v>0.8333333333333334</x:v>
      </x:c>
      <x:c r="J15" s="1" t="n">
        <x:v>5</x:v>
      </x:c>
      <x:c r="K15" s="1" t="n">
        <x:v>0</x:v>
      </x:c>
      <x:c r="L15" s="1" t="n">
        <x:v>1</x:v>
      </x:c>
      <x:c r="M15" s="7" t="n">
        <x:v>7275.606</x:v>
      </x:c>
      <x:c r="N15" s="7" t="n">
        <x:v>21981260.799</x:v>
      </x:c>
      <x:c r="O15" s="1" t="str">
        <x:v>esa-ew-id-duration-v1</x:v>
      </x:c>
    </x:row>
    <x:row r="16" ht="28" customHeight="1">
      <x:c r="A16" s="1" t="str">
        <x:v>system_all_channels</x:v>
      </x:c>
      <x:c r="B16" s="1" t="n">
        <x:v>2003</x:v>
      </x:c>
      <x:c r="C16" s="1" t="n">
        <x:v>43</x:v>
      </x:c>
      <x:c r="D16" s="1" t="str">
        <x:v>short_no_roll</x:v>
      </x:c>
      <x:c r="E16" s="1" t="n">
        <x:v>1</x:v>
      </x:c>
      <x:c r="F16" s="6" t="n">
        <x:v>0.7142857142857143</x:v>
      </x:c>
      <x:c r="G16" s="6" t="n">
        <x:v>0.9613582412220036</x:v>
      </x:c>
      <x:c r="H16" s="6" t="n">
        <x:v>0.9997563558319528</x:v>
      </x:c>
      <x:c r="I16" s="6" t="n">
        <x:v>0.8333333333333334</x:v>
      </x:c>
      <x:c r="J16" s="1" t="n">
        <x:v>5</x:v>
      </x:c>
      <x:c r="K16" s="1" t="n">
        <x:v>0</x:v>
      </x:c>
      <x:c r="L16" s="1" t="n">
        <x:v>1</x:v>
      </x:c>
      <x:c r="M16" s="7" t="n">
        <x:v>5355.606</x:v>
      </x:c>
      <x:c r="N16" s="7" t="n">
        <x:v>21981260.799</x:v>
      </x:c>
      <x:c r="O16" s="1" t="str">
        <x:v>esa-ew-id-duration-v1</x:v>
      </x:c>
    </x:row>
    <x:row r="17" ht="28" customHeight="1">
      <x:c r="A17" s="1" t="str">
        <x:v>input_channels_40_47</x:v>
      </x:c>
      <x:c r="B17" s="1" t="n">
        <x:v>2003</x:v>
      </x:c>
      <x:c r="C17" s="1" t="n">
        <x:v>43</x:v>
      </x:c>
      <x:c r="D17" s="1" t="str">
        <x:v>short_no_roll</x:v>
      </x:c>
      <x:c r="E17" s="1" t="n">
        <x:v>1</x:v>
      </x:c>
      <x:c r="F17" s="6" t="n">
        <x:v>0.7142857142857143</x:v>
      </x:c>
      <x:c r="G17" s="6" t="n">
        <x:v>0.9613582412220036</x:v>
      </x:c>
      <x:c r="H17" s="6" t="n">
        <x:v>0.9997563558319528</x:v>
      </x:c>
      <x:c r="I17" s="6" t="n">
        <x:v>0.8333333333333334</x:v>
      </x:c>
      <x:c r="J17" s="1" t="n">
        <x:v>5</x:v>
      </x:c>
      <x:c r="K17" s="1" t="n">
        <x:v>0</x:v>
      </x:c>
      <x:c r="L17" s="1" t="n">
        <x:v>1</x:v>
      </x:c>
      <x:c r="M17" s="7" t="n">
        <x:v>5355.606</x:v>
      </x:c>
      <x:c r="N17" s="7" t="n">
        <x:v>21981260.799</x:v>
      </x:c>
      <x:c r="O17" s="1" t="str">
        <x:v>esa-ew-id-duration-v1</x:v>
      </x:c>
    </x:row>
    <x:row r="18" ht="28" customHeight="1">
      <x:c r="A18" s="1" t="str">
        <x:v>system_all_channels</x:v>
      </x:c>
      <x:c r="B18" s="1" t="n">
        <x:v>2004</x:v>
      </x:c>
      <x:c r="C18" s="1" t="n">
        <x:v>43</x:v>
      </x:c>
      <x:c r="D18" s="1" t="str">
        <x:v>short_coordinated</x:v>
      </x:c>
      <x:c r="E18" s="1" t="n">
        <x:v>5</x:v>
      </x:c>
      <x:c r="F18" s="6" t="n">
        <x:v>0.1100410779479086</x:v>
      </x:c>
      <x:c r="G18" s="6" t="n">
        <x:v>0.1380057133275954</x:v>
      </x:c>
      <x:c r="H18" s="6" t="n">
        <x:v>0.11572829251568</x:v>
      </x:c>
      <x:c r="I18" s="6" t="n">
        <x:v>0.6</x:v>
      </x:c>
      <x:c r="J18" s="1" t="n">
        <x:v>6</x:v>
      </x:c>
      <x:c r="K18" s="1" t="n">
        <x:v>45</x:v>
      </x:c>
      <x:c r="L18" s="1" t="n">
        <x:v>4</x:v>
      </x:c>
      <x:c r="M18" s="7" t="n">
        <x:v>349940.313</x:v>
      </x:c>
      <x:c r="N18" s="7" t="n">
        <x:v>21456207.783</x:v>
      </x:c>
      <x:c r="O18" s="1" t="str">
        <x:v>esa-ew-id-duration-v1</x:v>
      </x:c>
    </x:row>
    <x:row r="19" ht="28" customHeight="1">
      <x:c r="A19" s="1" t="str">
        <x:v>input_channels_40_47</x:v>
      </x:c>
      <x:c r="B19" s="1" t="n">
        <x:v>2004</x:v>
      </x:c>
      <x:c r="C19" s="1" t="n">
        <x:v>43</x:v>
      </x:c>
      <x:c r="D19" s="1" t="str">
        <x:v>short_coordinated</x:v>
      </x:c>
      <x:c r="E19" s="1" t="n">
        <x:v>5</x:v>
      </x:c>
      <x:c r="F19" s="6" t="n">
        <x:v>0.1100410779479086</x:v>
      </x:c>
      <x:c r="G19" s="6" t="n">
        <x:v>0.1399369228129626</x:v>
      </x:c>
      <x:c r="H19" s="6" t="n">
        <x:v>0.11572829251568</x:v>
      </x:c>
      <x:c r="I19" s="6" t="n">
        <x:v>0.8571428571428571</x:v>
      </x:c>
      <x:c r="J19" s="1" t="n">
        <x:v>6</x:v>
      </x:c>
      <x:c r="K19" s="1" t="n">
        <x:v>45</x:v>
      </x:c>
      <x:c r="L19" s="1" t="n">
        <x:v>1</x:v>
      </x:c>
      <x:c r="M19" s="7" t="n">
        <x:v>349940.313</x:v>
      </x:c>
      <x:c r="N19" s="7" t="n">
        <x:v>21456207.783</x:v>
      </x:c>
      <x:c r="O19" s="1" t="str">
        <x:v>esa-ew-id-duration-v1</x:v>
      </x:c>
    </x:row>
    <x:row r="20" ht="28" customHeight="1">
      <x:c r="A20" s="1" t="str">
        <x:v>system_all_channels</x:v>
      </x:c>
      <x:c r="B20" s="1" t="n">
        <x:v>2004</x:v>
      </x:c>
      <x:c r="C20" s="1" t="n">
        <x:v>43</x:v>
      </x:c>
      <x:c r="D20" s="1" t="str">
        <x:v>short_no_roll</x:v>
      </x:c>
      <x:c r="E20" s="1" t="n">
        <x:v>1</x:v>
      </x:c>
      <x:c r="F20" s="6" t="n">
        <x:v>0</x:v>
      </x:c>
      <x:c r="G20" s="6" t="n">
        <x:v>0.666517709697442</x:v>
      </x:c>
      <x:c r="H20" s="6" t="n">
        <x:v>0.7997319074060908</x:v>
      </x:c>
      <x:c r="I20" s="6" t="n">
        <x:v>0.4</x:v>
      </x:c>
      <x:c r="J20" s="1" t="n">
        <x:v>4</x:v>
      </x:c>
      <x:c r="K20" s="1" t="n">
        <x:v>1</x:v>
      </x:c>
      <x:c r="L20" s="1" t="n">
        <x:v>6</x:v>
      </x:c>
      <x:c r="M20" s="7" t="n">
        <x:v>7190.313</x:v>
      </x:c>
      <x:c r="N20" s="7" t="n">
        <x:v>21456207.783</x:v>
      </x:c>
      <x:c r="O20" s="1" t="str">
        <x:v>esa-ew-id-duration-v1</x:v>
      </x:c>
    </x:row>
    <x:row r="21" ht="28" customHeight="1">
      <x:c r="A21" s="1" t="str">
        <x:v>input_channels_40_47</x:v>
      </x:c>
      <x:c r="B21" s="1" t="n">
        <x:v>2004</x:v>
      </x:c>
      <x:c r="C21" s="1" t="n">
        <x:v>43</x:v>
      </x:c>
      <x:c r="D21" s="1" t="str">
        <x:v>short_no_roll</x:v>
      </x:c>
      <x:c r="E21" s="1" t="n">
        <x:v>1</x:v>
      </x:c>
      <x:c r="F21" s="6" t="n">
        <x:v>0</x:v>
      </x:c>
      <x:c r="G21" s="6" t="n">
        <x:v>0.7405568478132263</x:v>
      </x:c>
      <x:c r="H21" s="6" t="n">
        <x:v>0.7997319074060908</x:v>
      </x:c>
      <x:c r="I21" s="6" t="n">
        <x:v>0.5714285714285714</x:v>
      </x:c>
      <x:c r="J21" s="1" t="n">
        <x:v>4</x:v>
      </x:c>
      <x:c r="K21" s="1" t="n">
        <x:v>1</x:v>
      </x:c>
      <x:c r="L21" s="1" t="n">
        <x:v>3</x:v>
      </x:c>
      <x:c r="M21" s="7" t="n">
        <x:v>7190.313</x:v>
      </x:c>
      <x:c r="N21" s="7" t="n">
        <x:v>21456207.783</x:v>
      </x:c>
      <x:c r="O21" s="1" t="str">
        <x:v>esa-ew-id-duration-v1</x:v>
      </x:c>
    </x:row>
    <x:row r="22" ht="28" customHeight="1">
      <x:c r="A22" s="1" t="str">
        <x:v>system_all_channels</x:v>
      </x:c>
      <x:c r="B22" s="1" t="n">
        <x:v>2005</x:v>
      </x:c>
      <x:c r="C22" s="1" t="n">
        <x:v>43</x:v>
      </x:c>
      <x:c r="D22" s="1" t="str">
        <x:v>short_coordinated</x:v>
      </x:c>
      <x:c r="E22" s="1" t="n">
        <x:v>1</x:v>
      </x:c>
      <x:c r="F22" s="6" t="n">
        <x:v>0.8328804736937059</x:v>
      </x:c>
      <x:c r="G22" s="6" t="n">
        <x:v>0.8691157005942426</x:v>
      </x:c>
      <x:c r="H22" s="6" t="n">
        <x:v>0.9992570605703706</x:v>
      </x:c>
      <x:c r="I22" s="6" t="n">
        <x:v>0.5714285714285714</x:v>
      </x:c>
      <x:c r="J22" s="1" t="n">
        <x:v>4</x:v>
      </x:c>
      <x:c r="K22" s="1" t="n">
        <x:v>0</x:v>
      </x:c>
      <x:c r="L22" s="1" t="n">
        <x:v>3</x:v>
      </x:c>
      <x:c r="M22" s="7" t="n">
        <x:v>14264.184</x:v>
      </x:c>
      <x:c r="N22" s="7" t="n">
        <x:v>19199659.395</x:v>
      </x:c>
      <x:c r="O22" s="1" t="str">
        <x:v>esa-ew-id-duration-v1</x:v>
      </x:c>
    </x:row>
    <x:row r="23" ht="28" customHeight="1">
      <x:c r="A23" s="1" t="str">
        <x:v>input_channels_40_47</x:v>
      </x:c>
      <x:c r="B23" s="1" t="n">
        <x:v>2005</x:v>
      </x:c>
      <x:c r="C23" s="1" t="n">
        <x:v>43</x:v>
      </x:c>
      <x:c r="D23" s="1" t="str">
        <x:v>short_coordinated</x:v>
      </x:c>
      <x:c r="E23" s="1" t="n">
        <x:v>1</x:v>
      </x:c>
      <x:c r="F23" s="6" t="n">
        <x:v>0.8328804736937059</x:v>
      </x:c>
      <x:c r="G23" s="6" t="n">
        <x:v>0.8691157005942426</x:v>
      </x:c>
      <x:c r="H23" s="6" t="n">
        <x:v>0.9992570605703706</x:v>
      </x:c>
      <x:c r="I23" s="6" t="n">
        <x:v>0.5714285714285714</x:v>
      </x:c>
      <x:c r="J23" s="1" t="n">
        <x:v>4</x:v>
      </x:c>
      <x:c r="K23" s="1" t="n">
        <x:v>0</x:v>
      </x:c>
      <x:c r="L23" s="1" t="n">
        <x:v>3</x:v>
      </x:c>
      <x:c r="M23" s="7" t="n">
        <x:v>14264.184</x:v>
      </x:c>
      <x:c r="N23" s="7" t="n">
        <x:v>19199659.395</x:v>
      </x:c>
      <x:c r="O23" s="1" t="str">
        <x:v>esa-ew-id-duration-v1</x:v>
      </x:c>
    </x:row>
    <x:row r="24" ht="28" customHeight="1">
      <x:c r="A24" s="1" t="str">
        <x:v>system_all_channels</x:v>
      </x:c>
      <x:c r="B24" s="1" t="n">
        <x:v>2005</x:v>
      </x:c>
      <x:c r="C24" s="1" t="n">
        <x:v>43</x:v>
      </x:c>
      <x:c r="D24" s="1" t="str">
        <x:v>short_no_roll</x:v>
      </x:c>
      <x:c r="E24" s="1" t="n">
        <x:v>1</x:v>
      </x:c>
      <x:c r="F24" s="6" t="n">
        <x:v>0.8328804736937059</x:v>
      </x:c>
      <x:c r="G24" s="6" t="n">
        <x:v>0.9671852173337772</x:v>
      </x:c>
      <x:c r="H24" s="6" t="n">
        <x:v>0.9992570605703706</x:v>
      </x:c>
      <x:c r="I24" s="6" t="n">
        <x:v>0.8571428571428571</x:v>
      </x:c>
      <x:c r="J24" s="1" t="n">
        <x:v>6</x:v>
      </x:c>
      <x:c r="K24" s="1" t="n">
        <x:v>0</x:v>
      </x:c>
      <x:c r="L24" s="1" t="n">
        <x:v>1</x:v>
      </x:c>
      <x:c r="M24" s="7" t="n">
        <x:v>14264.184</x:v>
      </x:c>
      <x:c r="N24" s="7" t="n">
        <x:v>19199659.395</x:v>
      </x:c>
      <x:c r="O24" s="1" t="str">
        <x:v>esa-ew-id-duration-v1</x:v>
      </x:c>
    </x:row>
    <x:row r="25" ht="28" customHeight="1">
      <x:c r="A25" s="1" t="str">
        <x:v>input_channels_40_47</x:v>
      </x:c>
      <x:c r="B25" s="1" t="n">
        <x:v>2005</x:v>
      </x:c>
      <x:c r="C25" s="1" t="n">
        <x:v>43</x:v>
      </x:c>
      <x:c r="D25" s="1" t="str">
        <x:v>short_no_roll</x:v>
      </x:c>
      <x:c r="E25" s="1" t="n">
        <x:v>1</x:v>
      </x:c>
      <x:c r="F25" s="6" t="n">
        <x:v>0.8328804736937059</x:v>
      </x:c>
      <x:c r="G25" s="6" t="n">
        <x:v>0.9671852173337772</x:v>
      </x:c>
      <x:c r="H25" s="6" t="n">
        <x:v>0.9992570605703706</x:v>
      </x:c>
      <x:c r="I25" s="6" t="n">
        <x:v>0.8571428571428571</x:v>
      </x:c>
      <x:c r="J25" s="1" t="n">
        <x:v>6</x:v>
      </x:c>
      <x:c r="K25" s="1" t="n">
        <x:v>0</x:v>
      </x:c>
      <x:c r="L25" s="1" t="n">
        <x:v>1</x:v>
      </x:c>
      <x:c r="M25" s="7" t="n">
        <x:v>14264.184</x:v>
      </x:c>
      <x:c r="N25" s="7" t="n">
        <x:v>19199659.395</x:v>
      </x:c>
      <x:c r="O25" s="1" t="str">
        <x:v>esa-ew-id-duration-v1</x:v>
      </x:c>
    </x:row>
    <x:row r="26" ht="28" customHeight="1">
      <x:c r="A26" s="1" t="str">
        <x:v>system_all_channels</x:v>
      </x:c>
      <x:c r="B26" s="1" t="n">
        <x:v>2003</x:v>
      </x:c>
      <x:c r="C26" s="1" t="n">
        <x:v>44</x:v>
      </x:c>
      <x:c r="D26" s="1" t="str">
        <x:v>short_coordinated</x:v>
      </x:c>
      <x:c r="E26" s="1" t="n">
        <x:v>1</x:v>
      </x:c>
      <x:c r="F26" s="6" t="n">
        <x:v>0.7142857142857143</x:v>
      </x:c>
      <x:c r="G26" s="6" t="n">
        <x:v>0.833297938494237</x:v>
      </x:c>
      <x:c r="H26" s="6" t="n">
        <x:v>0.9999362906426158</x:v>
      </x:c>
      <x:c r="I26" s="6" t="n">
        <x:v>0.5</x:v>
      </x:c>
      <x:c r="J26" s="1" t="n">
        <x:v>3</x:v>
      </x:c>
      <x:c r="K26" s="1" t="n">
        <x:v>0</x:v>
      </x:c>
      <x:c r="L26" s="1" t="n">
        <x:v>3</x:v>
      </x:c>
      <x:c r="M26" s="7" t="n">
        <x:v>1400.412</x:v>
      </x:c>
      <x:c r="N26" s="7" t="n">
        <x:v>21981260.799</x:v>
      </x:c>
      <x:c r="O26" s="1" t="str">
        <x:v>esa-ew-id-duration-v1</x:v>
      </x:c>
    </x:row>
    <x:row r="27" ht="28" customHeight="1">
      <x:c r="A27" s="1" t="str">
        <x:v>input_channels_40_47</x:v>
      </x:c>
      <x:c r="B27" s="1" t="n">
        <x:v>2003</x:v>
      </x:c>
      <x:c r="C27" s="1" t="n">
        <x:v>44</x:v>
      </x:c>
      <x:c r="D27" s="1" t="str">
        <x:v>short_coordinated</x:v>
      </x:c>
      <x:c r="E27" s="1" t="n">
        <x:v>1</x:v>
      </x:c>
      <x:c r="F27" s="6" t="n">
        <x:v>0.7142857142857143</x:v>
      </x:c>
      <x:c r="G27" s="6" t="n">
        <x:v>0.833297938494237</x:v>
      </x:c>
      <x:c r="H27" s="6" t="n">
        <x:v>0.9999362906426158</x:v>
      </x:c>
      <x:c r="I27" s="6" t="n">
        <x:v>0.5</x:v>
      </x:c>
      <x:c r="J27" s="1" t="n">
        <x:v>3</x:v>
      </x:c>
      <x:c r="K27" s="1" t="n">
        <x:v>0</x:v>
      </x:c>
      <x:c r="L27" s="1" t="n">
        <x:v>3</x:v>
      </x:c>
      <x:c r="M27" s="7" t="n">
        <x:v>1400.412</x:v>
      </x:c>
      <x:c r="N27" s="7" t="n">
        <x:v>21981260.799</x:v>
      </x:c>
      <x:c r="O27" s="1" t="str">
        <x:v>esa-ew-id-duration-v1</x:v>
      </x:c>
    </x:row>
    <x:row r="28" ht="28" customHeight="1">
      <x:c r="A28" s="1" t="str">
        <x:v>system_all_channels</x:v>
      </x:c>
      <x:c r="B28" s="1" t="n">
        <x:v>2003</x:v>
      </x:c>
      <x:c r="C28" s="1" t="n">
        <x:v>44</x:v>
      </x:c>
      <x:c r="D28" s="1" t="str">
        <x:v>short_no_roll</x:v>
      </x:c>
      <x:c r="E28" s="1" t="n">
        <x:v>1</x:v>
      </x:c>
      <x:c r="F28" s="6" t="n">
        <x:v>0.7142857142857143</x:v>
      </x:c>
      <x:c r="G28" s="6" t="n">
        <x:v>0.9614539867412748</x:v>
      </x:c>
      <x:c r="H28" s="6" t="n">
        <x:v>0.9998857930842568</x:v>
      </x:c>
      <x:c r="I28" s="6" t="n">
        <x:v>0.8333333333333334</x:v>
      </x:c>
      <x:c r="J28" s="1" t="n">
        <x:v>5</x:v>
      </x:c>
      <x:c r="K28" s="1" t="n">
        <x:v>0</x:v>
      </x:c>
      <x:c r="L28" s="1" t="n">
        <x:v>1</x:v>
      </x:c>
      <x:c r="M28" s="7" t="n">
        <x:v>2510.412</x:v>
      </x:c>
      <x:c r="N28" s="7" t="n">
        <x:v>21981260.799</x:v>
      </x:c>
      <x:c r="O28" s="1" t="str">
        <x:v>esa-ew-id-duration-v1</x:v>
      </x:c>
    </x:row>
    <x:row r="29" ht="28" customHeight="1">
      <x:c r="A29" s="1" t="str">
        <x:v>input_channels_40_47</x:v>
      </x:c>
      <x:c r="B29" s="1" t="n">
        <x:v>2003</x:v>
      </x:c>
      <x:c r="C29" s="1" t="n">
        <x:v>44</x:v>
      </x:c>
      <x:c r="D29" s="1" t="str">
        <x:v>short_no_roll</x:v>
      </x:c>
      <x:c r="E29" s="1" t="n">
        <x:v>1</x:v>
      </x:c>
      <x:c r="F29" s="6" t="n">
        <x:v>0.7142857142857143</x:v>
      </x:c>
      <x:c r="G29" s="6" t="n">
        <x:v>0.9614539867412748</x:v>
      </x:c>
      <x:c r="H29" s="6" t="n">
        <x:v>0.9998857930842568</x:v>
      </x:c>
      <x:c r="I29" s="6" t="n">
        <x:v>0.8333333333333334</x:v>
      </x:c>
      <x:c r="J29" s="1" t="n">
        <x:v>5</x:v>
      </x:c>
      <x:c r="K29" s="1" t="n">
        <x:v>0</x:v>
      </x:c>
      <x:c r="L29" s="1" t="n">
        <x:v>1</x:v>
      </x:c>
      <x:c r="M29" s="7" t="n">
        <x:v>2510.412</x:v>
      </x:c>
      <x:c r="N29" s="7" t="n">
        <x:v>21981260.799</x:v>
      </x:c>
      <x:c r="O29" s="1" t="str">
        <x:v>esa-ew-id-duration-v1</x:v>
      </x:c>
    </x:row>
    <x:row r="30" ht="28" customHeight="1">
      <x:c r="A30" s="1" t="str">
        <x:v>system_all_channels</x:v>
      </x:c>
      <x:c r="B30" s="1" t="n">
        <x:v>2004</x:v>
      </x:c>
      <x:c r="C30" s="1" t="n">
        <x:v>44</x:v>
      </x:c>
      <x:c r="D30" s="1" t="str">
        <x:v>short_coordinated</x:v>
      </x:c>
      <x:c r="E30" s="1" t="n">
        <x:v>5</x:v>
      </x:c>
      <x:c r="F30" s="6" t="n">
        <x:v>0.1010164071713054</x:v>
      </x:c>
      <x:c r="G30" s="6" t="n">
        <x:v>0.2092702362597301</x:v>
      </x:c>
      <x:c r="H30" s="6" t="n">
        <x:v>0.1799703337632429</x:v>
      </x:c>
      <x:c r="I30" s="6" t="n">
        <x:v>0.6</x:v>
      </x:c>
      <x:c r="J30" s="1" t="n">
        <x:v>6</x:v>
      </x:c>
      <x:c r="K30" s="1" t="n">
        <x:v>27</x:v>
      </x:c>
      <x:c r="L30" s="1" t="n">
        <x:v>4</x:v>
      </x:c>
      <x:c r="M30" s="7" t="n">
        <x:v>218062.965</x:v>
      </x:c>
      <x:c r="N30" s="7" t="n">
        <x:v>21456207.783</x:v>
      </x:c>
      <x:c r="O30" s="1" t="str">
        <x:v>esa-ew-id-duration-v1</x:v>
      </x:c>
    </x:row>
    <x:row r="31" ht="28" customHeight="1">
      <x:c r="A31" s="1" t="str">
        <x:v>input_channels_40_47</x:v>
      </x:c>
      <x:c r="B31" s="1" t="n">
        <x:v>2004</x:v>
      </x:c>
      <x:c r="C31" s="1" t="n">
        <x:v>44</x:v>
      </x:c>
      <x:c r="D31" s="1" t="str">
        <x:v>short_coordinated</x:v>
      </x:c>
      <x:c r="E31" s="1" t="n">
        <x:v>5</x:v>
      </x:c>
      <x:c r="F31" s="6" t="n">
        <x:v>0.1010164071713054</x:v>
      </x:c>
      <x:c r="G31" s="6" t="n">
        <x:v>0.2137432462233381</x:v>
      </x:c>
      <x:c r="H31" s="6" t="n">
        <x:v>0.1799703337632429</x:v>
      </x:c>
      <x:c r="I31" s="6" t="n">
        <x:v>0.8571428571428571</x:v>
      </x:c>
      <x:c r="J31" s="1" t="n">
        <x:v>6</x:v>
      </x:c>
      <x:c r="K31" s="1" t="n">
        <x:v>27</x:v>
      </x:c>
      <x:c r="L31" s="1" t="n">
        <x:v>1</x:v>
      </x:c>
      <x:c r="M31" s="7" t="n">
        <x:v>218062.965</x:v>
      </x:c>
      <x:c r="N31" s="7" t="n">
        <x:v>21456207.783</x:v>
      </x:c>
      <x:c r="O31" s="1" t="str">
        <x:v>esa-ew-id-duration-v1</x:v>
      </x:c>
    </x:row>
    <x:row r="32" ht="28" customHeight="1">
      <x:c r="A32" s="1" t="str">
        <x:v>system_all_channels</x:v>
      </x:c>
      <x:c r="B32" s="1" t="n">
        <x:v>2004</x:v>
      </x:c>
      <x:c r="C32" s="1" t="n">
        <x:v>44</x:v>
      </x:c>
      <x:c r="D32" s="1" t="str">
        <x:v>short_no_roll</x:v>
      </x:c>
      <x:c r="E32" s="1" t="n">
        <x:v>3</x:v>
      </x:c>
      <x:c r="F32" s="6" t="n">
        <x:v>0.0933910532143998</x:v>
      </x:c>
      <x:c r="G32" s="6" t="n">
        <x:v>0.1835427233450821</x:v>
      </x:c>
      <x:c r="H32" s="6" t="n">
        <x:v>0.1564030598580136</x:v>
      </x:c>
      <x:c r="I32" s="6" t="n">
        <x:v>0.6</x:v>
      </x:c>
      <x:c r="J32" s="1" t="n">
        <x:v>6</x:v>
      </x:c>
      <x:c r="K32" s="1" t="n">
        <x:v>32</x:v>
      </x:c>
      <x:c r="L32" s="1" t="n">
        <x:v>4</x:v>
      </x:c>
      <x:c r="M32" s="7" t="n">
        <x:v>202702.965</x:v>
      </x:c>
      <x:c r="N32" s="7" t="n">
        <x:v>21456207.783</x:v>
      </x:c>
      <x:c r="O32" s="1" t="str">
        <x:v>esa-ew-id-duration-v1</x:v>
      </x:c>
    </x:row>
    <x:row r="33" ht="28" customHeight="1">
      <x:c r="A33" s="1" t="str">
        <x:v>input_channels_40_47</x:v>
      </x:c>
      <x:c r="B33" s="1" t="n">
        <x:v>2004</x:v>
      </x:c>
      <x:c r="C33" s="1" t="n">
        <x:v>44</x:v>
      </x:c>
      <x:c r="D33" s="1" t="str">
        <x:v>short_no_roll</x:v>
      </x:c>
      <x:c r="E33" s="1" t="n">
        <x:v>3</x:v>
      </x:c>
      <x:c r="F33" s="6" t="n">
        <x:v>0.0933910532143998</x:v>
      </x:c>
      <x:c r="G33" s="6" t="n">
        <x:v>0.1869745043169246</x:v>
      </x:c>
      <x:c r="H33" s="6" t="n">
        <x:v>0.1564030598580136</x:v>
      </x:c>
      <x:c r="I33" s="6" t="n">
        <x:v>0.8571428571428571</x:v>
      </x:c>
      <x:c r="J33" s="1" t="n">
        <x:v>6</x:v>
      </x:c>
      <x:c r="K33" s="1" t="n">
        <x:v>32</x:v>
      </x:c>
      <x:c r="L33" s="1" t="n">
        <x:v>1</x:v>
      </x:c>
      <x:c r="M33" s="7" t="n">
        <x:v>202702.965</x:v>
      </x:c>
      <x:c r="N33" s="7" t="n">
        <x:v>21456207.783</x:v>
      </x:c>
      <x:c r="O33" s="1" t="str">
        <x:v>esa-ew-id-duration-v1</x:v>
      </x:c>
    </x:row>
    <x:row r="34" ht="28" customHeight="1">
      <x:c r="A34" s="1" t="str">
        <x:v>system_all_channels</x:v>
      </x:c>
      <x:c r="B34" s="1" t="n">
        <x:v>2005</x:v>
      </x:c>
      <x:c r="C34" s="1" t="n">
        <x:v>44</x:v>
      </x:c>
      <x:c r="D34" s="1" t="str">
        <x:v>short_coordinated</x:v>
      </x:c>
      <x:c r="E34" s="1" t="n">
        <x:v>1</x:v>
      </x:c>
      <x:c r="F34" s="6" t="n">
        <x:v>0.8328804736937059</x:v>
      </x:c>
      <x:c r="G34" s="6" t="n">
        <x:v>0.9254848800801256</x:v>
      </x:c>
      <x:c r="H34" s="6" t="n">
        <x:v>0.9993570623443864</x:v>
      </x:c>
      <x:c r="I34" s="6" t="n">
        <x:v>0.7142857142857143</x:v>
      </x:c>
      <x:c r="J34" s="1" t="n">
        <x:v>5</x:v>
      </x:c>
      <x:c r="K34" s="1" t="n">
        <x:v>0</x:v>
      </x:c>
      <x:c r="L34" s="1" t="n">
        <x:v>2</x:v>
      </x:c>
      <x:c r="M34" s="7" t="n">
        <x:v>12344.184</x:v>
      </x:c>
      <x:c r="N34" s="7" t="n">
        <x:v>19199659.395</x:v>
      </x:c>
      <x:c r="O34" s="1" t="str">
        <x:v>esa-ew-id-duration-v1</x:v>
      </x:c>
    </x:row>
    <x:row r="35" ht="28" customHeight="1">
      <x:c r="A35" s="1" t="str">
        <x:v>input_channels_40_47</x:v>
      </x:c>
      <x:c r="B35" s="1" t="n">
        <x:v>2005</x:v>
      </x:c>
      <x:c r="C35" s="1" t="n">
        <x:v>44</x:v>
      </x:c>
      <x:c r="D35" s="1" t="str">
        <x:v>short_coordinated</x:v>
      </x:c>
      <x:c r="E35" s="1" t="n">
        <x:v>1</x:v>
      </x:c>
      <x:c r="F35" s="6" t="n">
        <x:v>0.8328804736937059</x:v>
      </x:c>
      <x:c r="G35" s="6" t="n">
        <x:v>0.9254848800801256</x:v>
      </x:c>
      <x:c r="H35" s="6" t="n">
        <x:v>0.9993570623443864</x:v>
      </x:c>
      <x:c r="I35" s="6" t="n">
        <x:v>0.7142857142857143</x:v>
      </x:c>
      <x:c r="J35" s="1" t="n">
        <x:v>5</x:v>
      </x:c>
      <x:c r="K35" s="1" t="n">
        <x:v>0</x:v>
      </x:c>
      <x:c r="L35" s="1" t="n">
        <x:v>2</x:v>
      </x:c>
      <x:c r="M35" s="7" t="n">
        <x:v>12344.184</x:v>
      </x:c>
      <x:c r="N35" s="7" t="n">
        <x:v>19199659.395</x:v>
      </x:c>
      <x:c r="O35" s="1" t="str">
        <x:v>esa-ew-id-duration-v1</x:v>
      </x:c>
    </x:row>
    <x:row r="36" ht="28" customHeight="1">
      <x:c r="A36" s="1" t="str">
        <x:v>system_all_channels</x:v>
      </x:c>
      <x:c r="B36" s="1" t="n">
        <x:v>2005</x:v>
      </x:c>
      <x:c r="C36" s="1" t="n">
        <x:v>44</x:v>
      </x:c>
      <x:c r="D36" s="1" t="str">
        <x:v>short_no_roll</x:v>
      </x:c>
      <x:c r="E36" s="1" t="n">
        <x:v>1</x:v>
      </x:c>
      <x:c r="F36" s="6" t="n">
        <x:v>0.8328804736937059</x:v>
      </x:c>
      <x:c r="G36" s="6" t="n">
        <x:v>0.9254848800801256</x:v>
      </x:c>
      <x:c r="H36" s="6" t="n">
        <x:v>0.9993570623443864</x:v>
      </x:c>
      <x:c r="I36" s="6" t="n">
        <x:v>0.7142857142857143</x:v>
      </x:c>
      <x:c r="J36" s="1" t="n">
        <x:v>5</x:v>
      </x:c>
      <x:c r="K36" s="1" t="n">
        <x:v>0</x:v>
      </x:c>
      <x:c r="L36" s="1" t="n">
        <x:v>2</x:v>
      </x:c>
      <x:c r="M36" s="7" t="n">
        <x:v>12344.184</x:v>
      </x:c>
      <x:c r="N36" s="7" t="n">
        <x:v>19199659.395</x:v>
      </x:c>
      <x:c r="O36" s="1" t="str">
        <x:v>esa-ew-id-duration-v1</x:v>
      </x:c>
    </x:row>
    <x:row r="37" ht="28" customHeight="1">
      <x:c r="A37" s="1" t="str">
        <x:v>input_channels_40_47</x:v>
      </x:c>
      <x:c r="B37" s="1" t="n">
        <x:v>2005</x:v>
      </x:c>
      <x:c r="C37" s="1" t="n">
        <x:v>44</x:v>
      </x:c>
      <x:c r="D37" s="1" t="str">
        <x:v>short_no_roll</x:v>
      </x:c>
      <x:c r="E37" s="1" t="n">
        <x:v>1</x:v>
      </x:c>
      <x:c r="F37" s="6" t="n">
        <x:v>0.8328804736937059</x:v>
      </x:c>
      <x:c r="G37" s="6" t="n">
        <x:v>0.9254848800801256</x:v>
      </x:c>
      <x:c r="H37" s="6" t="n">
        <x:v>0.9993570623443864</x:v>
      </x:c>
      <x:c r="I37" s="6" t="n">
        <x:v>0.7142857142857143</x:v>
      </x:c>
      <x:c r="J37" s="1" t="n">
        <x:v>5</x:v>
      </x:c>
      <x:c r="K37" s="1" t="n">
        <x:v>0</x:v>
      </x:c>
      <x:c r="L37" s="1" t="n">
        <x:v>2</x:v>
      </x:c>
      <x:c r="M37" s="7" t="n">
        <x:v>12344.184</x:v>
      </x:c>
      <x:c r="N37" s="7" t="n">
        <x:v>19199659.395</x:v>
      </x:c>
      <x:c r="O37" s="1" t="str">
        <x:v>esa-ew-id-duration-v1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4" hidden="0" customWidth="1"/>
    <x:col min="3" max="3" width="24" hidden="0" customWidth="1"/>
    <x:col min="4" max="4" width="24" hidden="0" customWidth="1"/>
    <x:col min="5" max="5" width="20" hidden="0" customWidth="1"/>
    <x:col min="6" max="6" width="25" hidden="0" customWidth="1"/>
    <x:col min="7" max="7" width="25" hidden="0" customWidth="1"/>
  </x:cols>
  <x:sheetData>
    <x:row r="1" ht="45" customHeight="1">
      <x:c r="A1" s="5" t="str">
        <x:v>Scope</x:v>
      </x:c>
      <x:c r="B1" s="5" t="str">
        <x:v>Real assessment</x:v>
      </x:c>
      <x:c r="C1" s="5" t="str">
        <x:v>With short rolls</x:v>
      </x:c>
      <x:c r="D1" s="5" t="str">
        <x:v>Without short rolls</x:v>
      </x:c>
      <x:c r="E1" s="5" t="str">
        <x:v>Difference</x:v>
      </x:c>
      <x:c r="F1" s="5" t="str">
        <x:v>Control sample SD</x:v>
      </x:c>
      <x:c r="G1" s="5" t="str">
        <x:v>Candidate sample SD</x:v>
      </x:c>
    </x:row>
    <x:row r="2" ht="28" customHeight="1">
      <x:c r="A2" s="1" t="str">
        <x:v>system_all_channels</x:v>
      </x:c>
      <x:c r="B2" s="1" t="str">
        <x:v>2003 Apr–Dec</x:v>
      </x:c>
      <x:c r="C2" s="8" t="n">
        <x:f>AVERAGE('All results'!G2,'All results'!G14,'All results'!G26)</x:f>
        <x:v>0.8362918990973064</x:v>
      </x:c>
      <x:c r="D2" s="8" t="n">
        <x:f>AVERAGE('All results'!G4,'All results'!G16,'All results'!G28)</x:f>
        <x:v>0.9185251381390493</x:v>
      </x:c>
      <x:c r="E2" s="8" t="n">
        <x:f>D2-C2</x:f>
        <x:v>0.08223323904174296</x:v>
      </x:c>
      <x:c r="F2" s="8" t="n">
        <x:f>STDEV('All results'!G2,'All results'!G14,'All results'!G26)</x:f>
        <x:v>0.12353196136313058</x:v>
      </x:c>
      <x:c r="G2" s="8" t="n">
        <x:f>STDEV('All results'!G4,'All results'!G16,'All results'!G28)</x:f>
        <x:v>0.07427204426592435</x:v>
      </x:c>
    </x:row>
    <x:row r="3" ht="28" customHeight="1">
      <x:c r="A3" s="1" t="str">
        <x:v>system_all_channels</x:v>
      </x:c>
      <x:c r="B3" s="1" t="str">
        <x:v>2004 Apr–Dec</x:v>
      </x:c>
      <x:c r="C3" s="8" t="n">
        <x:f>AVERAGE('All results'!G6,'All results'!G18,'All results'!G30)</x:f>
        <x:v>0.24170707213446294</x:v>
      </x:c>
      <x:c r="D3" s="8" t="n">
        <x:f>AVERAGE('All results'!G8,'All results'!G20,'All results'!G32)</x:f>
        <x:v>0.4587313944999232</x:v>
      </x:c>
      <x:c r="E3" s="8" t="n">
        <x:f>D3-C3</x:f>
        <x:v>0.21702432236546024</x:v>
      </x:c>
      <x:c r="F3" s="8" t="n">
        <x:f>STDEV('All results'!G6,'All results'!G18,'All results'!G30)</x:f>
        <x:v>0.12316600219037792</x:v>
      </x:c>
      <x:c r="G3" s="8" t="n">
        <x:f>STDEV('All results'!G8,'All results'!G20,'All results'!G32)</x:f>
        <x:v>0.24844218150701328</x:v>
      </x:c>
    </x:row>
    <x:row r="4" ht="28" customHeight="1">
      <x:c r="A4" s="1" t="str">
        <x:v>system_all_channels</x:v>
      </x:c>
      <x:c r="B4" s="1" t="str">
        <x:v>2005 Apr–Dec</x:v>
      </x:c>
      <x:c r="C4" s="8" t="n">
        <x:f>AVERAGE('All results'!G10,'All results'!G22,'All results'!G34)</x:f>
        <x:v>0.9313220426014688</x:v>
      </x:c>
      <x:c r="D4" s="8" t="n">
        <x:f>AVERAGE('All results'!G12,'All results'!G24,'All results'!G36)</x:f>
        <x:v>0.9532851049158934</x:v>
      </x:c>
      <x:c r="E4" s="8" t="n">
        <x:f>D4-C4</x:f>
        <x:v>0.021963062314424575</x:v>
      </x:c>
      <x:c r="F4" s="8" t="n">
        <x:f>STDEV('All results'!G10,'All results'!G22,'All results'!G34)</x:f>
        <x:v>0.06532082348206435</x:v>
      </x:c>
      <x:c r="G4" s="8" t="n">
        <x:f>STDEV('All results'!G12,'All results'!G24,'All results'!G36)</x:f>
        <x:v>0.024075700938693885</x:v>
      </x:c>
    </x:row>
    <x:row r="5" ht="28" customHeight="1">
      <x:c r="A5" s="1" t="str">
        <x:v>input_channels_40_47</x:v>
      </x:c>
      <x:c r="B5" s="1" t="str">
        <x:v>2003 Apr–Dec</x:v>
      </x:c>
      <x:c r="C5" s="8" t="n">
        <x:f>AVERAGE('All results'!G3,'All results'!G15,'All results'!G27)</x:f>
        <x:v>0.8362918990973064</x:v>
      </x:c>
      <x:c r="D5" s="8" t="n">
        <x:f>AVERAGE('All results'!G5,'All results'!G17,'All results'!G29)</x:f>
        <x:v>0.9185251381390493</x:v>
      </x:c>
      <x:c r="E5" s="8" t="n">
        <x:f>D5-C5</x:f>
        <x:v>0.08223323904174296</x:v>
      </x:c>
      <x:c r="F5" s="8" t="n">
        <x:f>STDEV('All results'!G3,'All results'!G15,'All results'!G27)</x:f>
        <x:v>0.12353196136313058</x:v>
      </x:c>
      <x:c r="G5" s="8" t="n">
        <x:f>STDEV('All results'!G5,'All results'!G17,'All results'!G29)</x:f>
        <x:v>0.07427204426592435</x:v>
      </x:c>
    </x:row>
    <x:row r="6" ht="28" customHeight="1">
      <x:c r="A6" s="1" t="str">
        <x:v>input_channels_40_47</x:v>
      </x:c>
      <x:c r="B6" s="1" t="str">
        <x:v>2004 Apr–Dec</x:v>
      </x:c>
      <x:c r="C6" s="8" t="n">
        <x:f>AVERAGE('All results'!G7,'All results'!G19,'All results'!G31)</x:f>
        <x:v>0.24982372215171267</x:v>
      </x:c>
      <x:c r="D6" s="8" t="n">
        <x:f>AVERAGE('All results'!G9,'All results'!G21,'All results'!G33)</x:f>
        <x:v>0.49958178226188726</x:v>
      </x:c>
      <x:c r="E6" s="8" t="n">
        <x:f>D6-C6</x:f>
        <x:v>0.2497580601101746</x:v>
      </x:c>
      <x:c r="F6" s="8" t="n">
        <x:f>STDEV('All results'!G7,'All results'!G19,'All results'!G31)</x:f>
        <x:v>0.1316878028919939</x:v>
      </x:c>
      <x:c r="G6" s="8" t="n">
        <x:f>STDEV('All results'!G9,'All results'!G21,'All results'!G33)</x:f>
        <x:v>0.2836577746986996</x:v>
      </x:c>
    </x:row>
    <x:row r="7" ht="28" customHeight="1">
      <x:c r="A7" s="1" t="str">
        <x:v>input_channels_40_47</x:v>
      </x:c>
      <x:c r="B7" s="1" t="str">
        <x:v>2005 Apr–Dec</x:v>
      </x:c>
      <x:c r="C7" s="8" t="n">
        <x:f>AVERAGE('All results'!G11,'All results'!G23,'All results'!G35)</x:f>
        <x:v>0.9313220426014688</x:v>
      </x:c>
      <x:c r="D7" s="8" t="n">
        <x:f>AVERAGE('All results'!G13,'All results'!G25,'All results'!G37)</x:f>
        <x:v>0.9393621215070397</x:v>
      </x:c>
      <x:c r="E7" s="8" t="n">
        <x:f>D7-C7</x:f>
        <x:v>0.008040078905570902</x:v>
      </x:c>
      <x:c r="F7" s="8" t="n">
        <x:f>STDEV('All results'!G11,'All results'!G23,'All results'!G35)</x:f>
        <x:v>0.06532082348206435</x:v>
      </x:c>
      <x:c r="G7" s="8" t="n">
        <x:f>STDEV('All results'!G13,'All results'!G25,'All results'!G37)</x:f>
        <x:v>0.024095532220162176</x:v>
      </x:c>
    </x:row>
    <x:row r="10">
      <x:c r="B10" t="str">
        <x:v>Assessment</x:v>
      </x:c>
      <x:c r="C10" t="str">
        <x:v>With short rolls</x:v>
      </x:c>
      <x:c r="D10" t="str">
        <x:v>Without short rolls</x:v>
      </x:c>
    </x:row>
    <x:row r="11">
      <x:c r="B11" t="str">
        <x:v>2003 Apr–Dec</x:v>
      </x:c>
      <x:c r="C11" s="9" t="n">
        <x:f>C2</x:f>
        <x:v>0.8362918990973064</x:v>
      </x:c>
      <x:c r="D11" s="9" t="n">
        <x:f>D2</x:f>
        <x:v>0.9185251381390493</x:v>
      </x:c>
    </x:row>
    <x:row r="12">
      <x:c r="B12" t="str">
        <x:v>2004 Apr–Dec</x:v>
      </x:c>
      <x:c r="C12" s="9" t="n">
        <x:f>C3</x:f>
        <x:v>0.24170707213446294</x:v>
      </x:c>
      <x:c r="D12" s="9" t="n">
        <x:f>D3</x:f>
        <x:v>0.4587313944999232</x:v>
      </x:c>
    </x:row>
    <x:row r="13">
      <x:c r="B13" t="str">
        <x:v>2005 Apr–Dec</x:v>
      </x:c>
      <x:c r="C13" s="9" t="n">
        <x:f>C4</x:f>
        <x:v>0.9313220426014688</x:v>
      </x:c>
      <x:c r="D13" s="9" t="n">
        <x:f>D4</x:f>
        <x:v>0.9532851049158934</x:v>
      </x:c>
    </x:row>
  </x:sheetData>
  <x:pageMargins left="0.7" right="0.7" top="0.75" bottom="0.75" header="0.3" footer="0.3"/>
  <x:drawing xmlns:r="http://schemas.openxmlformats.org/officeDocument/2006/relationships" r:id="Rbc97f3903bc14e79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7" hidden="0" customWidth="1"/>
    <x:col min="3" max="3" width="12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45" customHeight="1">
      <x:c r="A1" s="5" t="str">
        <x:v>Scope</x:v>
      </x:c>
      <x:c r="B1" s="5" t="str">
        <x:v>Assessment year (Apr–Dec)</x:v>
      </x:c>
      <x:c r="C1" s="5" t="str">
        <x:v>Seed</x:v>
      </x:c>
      <x:c r="D1" s="5" t="str">
        <x:v>With short rolls</x:v>
      </x:c>
      <x:c r="E1" s="5" t="str">
        <x:v>Without short rolls</x:v>
      </x:c>
      <x:c r="F1" s="5" t="str">
        <x:v>Difference</x:v>
      </x:c>
    </x:row>
    <x:row r="2" ht="28" customHeight="1">
      <x:c r="A2" s="1" t="str">
        <x:v>input_channels_40_47</x:v>
      </x:c>
      <x:c r="B2" s="1" t="n">
        <x:v>2003</x:v>
      </x:c>
      <x:c r="C2" s="1" t="n">
        <x:v>42</x:v>
      </x:c>
      <x:c r="D2" s="6" t="n">
        <x:v>0.7142841320076883</x:v>
      </x:c>
      <x:c r="E2" s="6" t="n">
        <x:v>0.8327631864538698</x:v>
      </x:c>
      <x:c r="F2" s="6" t="n">
        <x:f>E2-D2</x:f>
        <x:v>0.11847905444618156</x:v>
      </x:c>
    </x:row>
    <x:row r="3" ht="28" customHeight="1">
      <x:c r="A3" s="1" t="str">
        <x:v>input_channels_40_47</x:v>
      </x:c>
      <x:c r="B3" s="1" t="n">
        <x:v>2003</x:v>
      </x:c>
      <x:c r="C3" s="1" t="n">
        <x:v>43</x:v>
      </x:c>
      <x:c r="D3" s="6" t="n">
        <x:v>0.9612936267899936</x:v>
      </x:c>
      <x:c r="E3" s="6" t="n">
        <x:v>0.9613582412220036</x:v>
      </x:c>
      <x:c r="F3" s="6" t="n">
        <x:f>E3-D3</x:f>
        <x:v>0.00006461443201000172</x:v>
      </x:c>
    </x:row>
    <x:row r="4" ht="28" customHeight="1">
      <x:c r="A4" s="1" t="str">
        <x:v>input_channels_40_47</x:v>
      </x:c>
      <x:c r="B4" s="1" t="n">
        <x:v>2003</x:v>
      </x:c>
      <x:c r="C4" s="1" t="n">
        <x:v>44</x:v>
      </x:c>
      <x:c r="D4" s="6" t="n">
        <x:v>0.833297938494237</x:v>
      </x:c>
      <x:c r="E4" s="6" t="n">
        <x:v>0.9614539867412748</x:v>
      </x:c>
      <x:c r="F4" s="6" t="n">
        <x:f>E4-D4</x:f>
        <x:v>0.12815604824703786</x:v>
      </x:c>
    </x:row>
    <x:row r="5" ht="28" customHeight="1">
      <x:c r="A5" s="1" t="str">
        <x:v>input_channels_40_47</x:v>
      </x:c>
      <x:c r="B5" s="1" t="n">
        <x:v>2004</x:v>
      </x:c>
      <x:c r="C5" s="1" t="n">
        <x:v>42</x:v>
      </x:c>
      <x:c r="D5" s="6" t="n">
        <x:v>0.3957909974188373</x:v>
      </x:c>
      <x:c r="E5" s="6" t="n">
        <x:v>0.5712139946555107</x:v>
      </x:c>
      <x:c r="F5" s="6" t="n">
        <x:f>E5-D5</x:f>
        <x:v>0.17542299723667343</x:v>
      </x:c>
    </x:row>
    <x:row r="6" ht="28" customHeight="1">
      <x:c r="A6" s="1" t="str">
        <x:v>input_channels_40_47</x:v>
      </x:c>
      <x:c r="B6" s="1" t="n">
        <x:v>2004</x:v>
      </x:c>
      <x:c r="C6" s="1" t="n">
        <x:v>43</x:v>
      </x:c>
      <x:c r="D6" s="6" t="n">
        <x:v>0.1399369228129626</x:v>
      </x:c>
      <x:c r="E6" s="6" t="n">
        <x:v>0.7405568478132263</x:v>
      </x:c>
      <x:c r="F6" s="6" t="n">
        <x:f>E6-D6</x:f>
        <x:v>0.6006199250002637</x:v>
      </x:c>
    </x:row>
    <x:row r="7" ht="28" customHeight="1">
      <x:c r="A7" s="1" t="str">
        <x:v>input_channels_40_47</x:v>
      </x:c>
      <x:c r="B7" s="1" t="n">
        <x:v>2004</x:v>
      </x:c>
      <x:c r="C7" s="1" t="n">
        <x:v>44</x:v>
      </x:c>
      <x:c r="D7" s="6" t="n">
        <x:v>0.2137432462233381</x:v>
      </x:c>
      <x:c r="E7" s="6" t="n">
        <x:v>0.1869745043169246</x:v>
      </x:c>
      <x:c r="F7" s="6" t="n">
        <x:f>E7-D7</x:f>
        <x:v>-0.026768741906413485</x:v>
      </x:c>
    </x:row>
    <x:row r="8" ht="28" customHeight="1">
      <x:c r="A8" s="1" t="str">
        <x:v>input_channels_40_47</x:v>
      </x:c>
      <x:c r="B8" s="1" t="n">
        <x:v>2005</x:v>
      </x:c>
      <x:c r="C8" s="1" t="n">
        <x:v>42</x:v>
      </x:c>
      <x:c r="D8" s="6" t="n">
        <x:v>0.9993655471300382</x:v>
      </x:c>
      <x:c r="E8" s="6" t="n">
        <x:v>0.9254162671072164</x:v>
      </x:c>
      <x:c r="F8" s="6" t="n">
        <x:f>E8-D8</x:f>
        <x:v>-0.07394928002282186</x:v>
      </x:c>
    </x:row>
    <x:row r="9" ht="28" customHeight="1">
      <x:c r="A9" s="1" t="str">
        <x:v>input_channels_40_47</x:v>
      </x:c>
      <x:c r="B9" s="1" t="n">
        <x:v>2005</x:v>
      </x:c>
      <x:c r="C9" s="1" t="n">
        <x:v>43</x:v>
      </x:c>
      <x:c r="D9" s="6" t="n">
        <x:v>0.8691157005942426</x:v>
      </x:c>
      <x:c r="E9" s="6" t="n">
        <x:v>0.9671852173337772</x:v>
      </x:c>
      <x:c r="F9" s="6" t="n">
        <x:f>E9-D9</x:f>
        <x:v>0.09806951673953457</x:v>
      </x:c>
    </x:row>
    <x:row r="10" ht="28" customHeight="1">
      <x:c r="A10" s="1" t="str">
        <x:v>input_channels_40_47</x:v>
      </x:c>
      <x:c r="B10" s="1" t="n">
        <x:v>2005</x:v>
      </x:c>
      <x:c r="C10" s="1" t="n">
        <x:v>44</x:v>
      </x:c>
      <x:c r="D10" s="6" t="n">
        <x:v>0.9254848800801256</x:v>
      </x:c>
      <x:c r="E10" s="6" t="n">
        <x:v>0.9254848800801256</x:v>
      </x:c>
      <x:c r="F10" s="6" t="n">
        <x:f>E10-D10</x:f>
        <x:v>0</x:v>
      </x:c>
    </x:row>
    <x:row r="11" ht="28" customHeight="1">
      <x:c r="A11" s="1" t="str">
        <x:v>system_all_channels</x:v>
      </x:c>
      <x:c r="B11" s="1" t="n">
        <x:v>2003</x:v>
      </x:c>
      <x:c r="C11" s="1" t="n">
        <x:v>42</x:v>
      </x:c>
      <x:c r="D11" s="6" t="n">
        <x:v>0.7142841320076883</x:v>
      </x:c>
      <x:c r="E11" s="6" t="n">
        <x:v>0.8327631864538698</x:v>
      </x:c>
      <x:c r="F11" s="6" t="n">
        <x:f>E11-D11</x:f>
        <x:v>0.11847905444618156</x:v>
      </x:c>
    </x:row>
    <x:row r="12" ht="28" customHeight="1">
      <x:c r="A12" s="1" t="str">
        <x:v>system_all_channels</x:v>
      </x:c>
      <x:c r="B12" s="1" t="n">
        <x:v>2003</x:v>
      </x:c>
      <x:c r="C12" s="1" t="n">
        <x:v>43</x:v>
      </x:c>
      <x:c r="D12" s="6" t="n">
        <x:v>0.9612936267899936</x:v>
      </x:c>
      <x:c r="E12" s="6" t="n">
        <x:v>0.9613582412220036</x:v>
      </x:c>
      <x:c r="F12" s="6" t="n">
        <x:f>E12-D12</x:f>
        <x:v>0.00006461443201000172</x:v>
      </x:c>
    </x:row>
    <x:row r="13" ht="28" customHeight="1">
      <x:c r="A13" s="1" t="str">
        <x:v>system_all_channels</x:v>
      </x:c>
      <x:c r="B13" s="1" t="n">
        <x:v>2003</x:v>
      </x:c>
      <x:c r="C13" s="1" t="n">
        <x:v>44</x:v>
      </x:c>
      <x:c r="D13" s="6" t="n">
        <x:v>0.833297938494237</x:v>
      </x:c>
      <x:c r="E13" s="6" t="n">
        <x:v>0.9614539867412748</x:v>
      </x:c>
      <x:c r="F13" s="6" t="n">
        <x:f>E13-D13</x:f>
        <x:v>0.12815604824703786</x:v>
      </x:c>
    </x:row>
    <x:row r="14" ht="28" customHeight="1">
      <x:c r="A14" s="1" t="str">
        <x:v>system_all_channels</x:v>
      </x:c>
      <x:c r="B14" s="1" t="n">
        <x:v>2004</x:v>
      </x:c>
      <x:c r="C14" s="1" t="n">
        <x:v>42</x:v>
      </x:c>
      <x:c r="D14" s="6" t="n">
        <x:v>0.3778452668160633</x:v>
      </x:c>
      <x:c r="E14" s="6" t="n">
        <x:v>0.5261337504572453</x:v>
      </x:c>
      <x:c r="F14" s="6" t="n">
        <x:f>E14-D14</x:f>
        <x:v>0.14828848364118202</x:v>
      </x:c>
    </x:row>
    <x:row r="15" ht="28" customHeight="1">
      <x:c r="A15" s="1" t="str">
        <x:v>system_all_channels</x:v>
      </x:c>
      <x:c r="B15" s="1" t="n">
        <x:v>2004</x:v>
      </x:c>
      <x:c r="C15" s="1" t="n">
        <x:v>43</x:v>
      </x:c>
      <x:c r="D15" s="6" t="n">
        <x:v>0.1380057133275954</x:v>
      </x:c>
      <x:c r="E15" s="6" t="n">
        <x:v>0.666517709697442</x:v>
      </x:c>
      <x:c r="F15" s="6" t="n">
        <x:f>E15-D15</x:f>
        <x:v>0.5285119963698466</x:v>
      </x:c>
    </x:row>
    <x:row r="16" ht="28" customHeight="1">
      <x:c r="A16" s="1" t="str">
        <x:v>system_all_channels</x:v>
      </x:c>
      <x:c r="B16" s="1" t="n">
        <x:v>2004</x:v>
      </x:c>
      <x:c r="C16" s="1" t="n">
        <x:v>44</x:v>
      </x:c>
      <x:c r="D16" s="6" t="n">
        <x:v>0.2092702362597301</x:v>
      </x:c>
      <x:c r="E16" s="6" t="n">
        <x:v>0.1835427233450821</x:v>
      </x:c>
      <x:c r="F16" s="6" t="n">
        <x:f>E16-D16</x:f>
        <x:v>-0.025727512914648004</x:v>
      </x:c>
    </x:row>
    <x:row r="17" ht="28" customHeight="1">
      <x:c r="A17" s="1" t="str">
        <x:v>system_all_channels</x:v>
      </x:c>
      <x:c r="B17" s="1" t="n">
        <x:v>2005</x:v>
      </x:c>
      <x:c r="C17" s="1" t="n">
        <x:v>42</x:v>
      </x:c>
      <x:c r="D17" s="6" t="n">
        <x:v>0.9993655471300382</x:v>
      </x:c>
      <x:c r="E17" s="6" t="n">
        <x:v>0.9671852173337772</x:v>
      </x:c>
      <x:c r="F17" s="6" t="n">
        <x:f>E17-D17</x:f>
        <x:v>-0.032180329796261065</x:v>
      </x:c>
    </x:row>
    <x:row r="18" ht="28" customHeight="1">
      <x:c r="A18" s="1" t="str">
        <x:v>system_all_channels</x:v>
      </x:c>
      <x:c r="B18" s="1" t="n">
        <x:v>2005</x:v>
      </x:c>
      <x:c r="C18" s="1" t="n">
        <x:v>43</x:v>
      </x:c>
      <x:c r="D18" s="6" t="n">
        <x:v>0.8691157005942426</x:v>
      </x:c>
      <x:c r="E18" s="6" t="n">
        <x:v>0.9671852173337772</x:v>
      </x:c>
      <x:c r="F18" s="6" t="n">
        <x:f>E18-D18</x:f>
        <x:v>0.09806951673953457</x:v>
      </x:c>
    </x:row>
    <x:row r="19" ht="28" customHeight="1">
      <x:c r="A19" s="1" t="str">
        <x:v>system_all_channels</x:v>
      </x:c>
      <x:c r="B19" s="1" t="n">
        <x:v>2005</x:v>
      </x:c>
      <x:c r="C19" s="1" t="n">
        <x:v>44</x:v>
      </x:c>
      <x:c r="D19" s="6" t="n">
        <x:v>0.9254848800801256</x:v>
      </x:c>
      <x:c r="E19" s="6" t="n">
        <x:v>0.9254848800801256</x:v>
      </x:c>
      <x:c r="F19" s="6" t="n">
        <x:f>E19-D19</x:f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2" hidden="0" customWidth="1"/>
  </x:cols>
  <x:sheetData>
    <x:row r="1" ht="45" customHeight="1">
      <x:c r="A1" s="5" t="str">
        <x:v>Topic</x:v>
      </x:c>
      <x:c r="B1" s="5" t="str">
        <x:v>Details</x:v>
      </x:c>
    </x:row>
    <x:row r="2" ht="55" customHeight="1">
      <x:c r="A2" s="10" t="str">
        <x:v>Inputs</x:v>
      </x:c>
      <x:c r="B2" s="10" t="str">
        <x:v>Channels 40–47 in every model. Local and system metrics use the same predictions.</x:v>
      </x:c>
    </x:row>
    <x:row r="3" ht="55" customHeight="1">
      <x:c r="A3" s="10" t="str">
        <x:v>Real assessment</x:v>
      </x:c>
      <x:c r="B3" s="10" t="str">
        <x:v>Same real April–December observations and annotations within each fold: 2003, 2004 and 2005. No generated anomaly assessment data.</x:v>
      </x:c>
    </x:row>
    <x:row r="4" ht="55" customHeight="1">
      <x:c r="A4" s="10" t="str">
        <x:v>Training and calibration</x:v>
      </x:c>
      <x:c r="B4" s="10" t="str">
        <x:v>Train on years preceding each fold. Calibrate January–March. Five epochs, 25,000 normal windows, batch64. Seeds42/43/44.</x:v>
      </x:c>
    </x:row>
    <x:row r="5" ht="55" customHeight="1">
      <x:c r="A5" s="10" t="str">
        <x:v>Change</x:v>
      </x:c>
      <x:c r="B5" s="10" t="str">
        <x:v>Remove temporal rolls only from the short-corruption branch. Keep short offsets/noise and the unchanged legacy branch.</x:v>
      </x:c>
    </x:row>
    <x:row r="6" ht="55" customHeight="1">
      <x:c r="A6" s="10" t="str">
        <x:v>Mean results</x:v>
      </x:c>
      <x:c r="B6" s="10" t="str">
        <x:v>System means improve in all three folds. Six paired increases, two decreases and one tie. The 2003 seed43 increase is only 0.000065.</x:v>
      </x:c>
    </x:row>
    <x:row r="7" ht="55" customHeight="1">
      <x:c r="A7" s="10" t="str">
        <x:v>2004 concern</x:v>
      </x:c>
      <x:c r="B7" s="10" t="str">
        <x:v>Candidate F0.5 ranges from0.1835 to0.6665. Candidate seed44 has32 false alarm events. Calibration F0.5 is zero for seeds42/43, and0.0934 for seed44.</x:v>
      </x:c>
    </x:row>
    <x:row r="8" ht="55" customHeight="1">
      <x:c r="A8" s="10" t="str">
        <x:v>Tradeoff</x:v>
      </x:c>
      <x:c r="B8" s="10" t="str">
        <x:v>In2004 mean false alarm events fall from27 to12, but mean detected event IDs fall from5.67 to4.67.</x:v>
      </x:c>
    </x:row>
    <x:row r="9" ht="55" customHeight="1">
      <x:c r="A9" s="10" t="str">
        <x:v>Decision</x:v>
      </x:c>
      <x:c r="B9" s="10" t="str">
        <x:v>Keep the existing full-period baseline. Investigate2004 training/calibration stability before deciding on any larger run. No assessment-driven threshold changes.</x:v>
      </x:c>
    </x:row>
    <x:row r="10" ht="55" customHeight="1">
      <x:c r="A10" s="10" t="str">
        <x:v>Limits</x:v>
      </x:c>
      <x:c r="B10" s="10" t="str">
        <x:v>Previously inspected development data. Means are averages across seeds, not pooled event metrics. Three seeds do not establish robust generalization.</x:v>
      </x:c>
    </x:row>
    <x:row r="11" ht="55" customHeight="1">
      <x:c r="A11" s="10" t="str">
        <x:v>Sources</x:v>
      </x:c>
      <x:c r="B11" s="10" t="str">
        <x:v>short_no_roll_seed42_v1, short_no_roll_seed43_v1, short_no_roll_seed44_v1: results.csv, protocol.json, frozen_rule.json, history.csv and saved assessment arrays.</x:v>
      </x:c>
    </x:row>
    <x:row r="12" ht="55" customHeight="1">
      <x:c r="A12" s="10" t="str">
        <x:v>Verification</x:v>
      </x:c>
      <x:c r="B12" s="10" t="str">
        <x:v>18 predictions reproduce frozen rules. All36 metric rows reproduce within1e-9. Protocols match except seed. All control scores/predictions match previous corresponding runs.</x:v>
      </x:c>
    </x:row>
    <x:row r="13" ht="55" customHeight="1">
      <x:c r="A13" s="10" t="str">
        <x:v>Workbook scope</x:v>
      </x:c>
      <x:c r="B13" s="10" t="str">
        <x:v>Updated campaign supplement to the30 September full-method workbook. Earlier workbook remains a dated snapshot.</x:v>
      </x:c>
    </x:row>
    <x:row r="14" ht="55" customHeight="1">
      <x:c r="A14" s="10" t="str">
        <x:v>Full-period reference</x:v>
      </x:c>
      <x:c r="B14" s="10" t="str">
        <x:v>System0.8057217337, local0.8629066303 on2007–2013. These development experiments do not replace that result.</x:v>
      </x:c>
    </x:row>
  </x:sheetData>
  <x:pageMargins left="0.7" right="0.7" top="0.75" bottom="0.75" header="0.3" footer="0.3"/>
</x:worksheet>
</file>