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1a1c2ddc3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sis results" sheetId="1" r:id="R581d52b719be4215"/>
  </x:sheets>
</x:workbook>
</file>

<file path=xl/comments1.xml><?xml version="1.0" encoding="utf-8"?>
<x:comments xmlns:x="http://schemas.openxmlformats.org/spreadsheetml/2006/main">
  <x:authors>
    <x:author/>
  </x:authors>
  <x:commentList>
    <x:comment ref="A9" authorId="0">
      <x:text>
        <x:r>
          <x:t>Source: ESA-ADB, long-baseline results, 24 September 2026; source commit 523b0a4. Pooled and all annual metrics independently replayed from the original prediction mask and raw annotation IDs on 16 October 2026. https://github.com/kamyarfaz/ESA-ADB/blob/523b0a4/docs/research/long-baseline-results-2026-09-24.md</x:t>
        </x:r>
      </x:text>
    </x:comment>
    <x:comment ref="A21" authorId="0">
      <x:text>
        <x:r>
          <x:t>Source: ESA-ADB, long-baseline results, 24 September 2026; source commit 523b0a4. Pooled and all annual metrics independently replayed from the original prediction mask and raw annotation IDs on 16 October 2026. https://github.com/kamyarfaz/ESA-ADB/blob/523b0a4/docs/research/long-baseline-results-2026-09-24.md</x:t>
        </x:r>
      </x:text>
    </x:comment>
    <x:comment ref="A10" authorId="0">
      <x:text>
        <x:r>
          <x:t>Source: docs/research/full-short-no-roll-results-2026-10-16.md and tables/full-short-no-roll-2026-10-16/verified_results.csv. All annual and pooled metrics independently replayed from saved predictions and raw annotation IDs on 16 October 2026.</x:t>
        </x:r>
      </x:text>
    </x:comment>
    <x:comment ref="A22" authorId="0">
      <x:text>
        <x:r>
          <x:t>Source: docs/research/full-short-no-roll-results-2026-10-16.md and tables/full-short-no-roll-2026-10-16/verified_results.csv. All annual and pooled metrics independently replayed from saved predictions and raw annotation IDs on 16 October 2026.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%"/>
    <x:numFmt numFmtId="202" formatCode="0"/>
  </x:numFmts>
  <x:fonts count="6">
    <x:font>
      <x:sz val="11"/>
      <x:name val="Carlito"/>
    </x:font>
    <x:font>
      <x:sz val="11"/>
      <x:color rgb="FF20313D"/>
      <x:name val="Arial"/>
    </x:font>
    <x:font>
      <x:b/>
      <x:sz val="16"/>
      <x:color rgb="FF20313D"/>
      <x:name val="Arial"/>
    </x:font>
    <x:font>
      <x:b/>
      <x:sz val="11"/>
      <x:color rgb="FF20313D"/>
      <x:name val="Arial"/>
    </x:font>
    <x:font>
      <x:b/>
      <x:sz val="11"/>
      <x:color rgb="FFFFFFFF"/>
      <x:name val="Arial"/>
    </x:font>
    <x:font>
      <x:sz val="10"/>
      <x:color rgb="FF53657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0"/>
      </x:patternFill>
    </x:fill>
    <x:fill>
      <x:patternFill patternType="solid">
        <x:fgColor rgb="FFEDF3F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05800"/>
      </x:font>
      <x:fill>
        <x:patternFill patternType="solid">
          <x:bgColor rgb="FFFFF1D6"/>
        </x:patternFill>
      </x:fill>
    </x:dxf>
    <x:dxf>
      <x:font>
        <x:color rgb="FF8058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72d11e99e42c4" /><Relationship Type="http://schemas.openxmlformats.org/officeDocument/2006/relationships/theme" Target="/xl/theme/theme1.xml" Id="R50cb4dc1bb1445f6" /><Relationship Type="http://schemas.openxmlformats.org/officeDocument/2006/relationships/sharedStrings" Target="/xl/sharedStrings.xml" Id="R8c9acace3e314156" /><Relationship Type="http://schemas.openxmlformats.org/officeDocument/2006/relationships/worksheet" Target="/xl/worksheets/sheet1.xml" Id="R581d52b719be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f52dc1a34d94a6f" /><Relationship Type="http://schemas.openxmlformats.org/officeDocument/2006/relationships/vmlDrawing" Target="/xl/drawings/vmldrawing.vml" Id="R1bdba4d8029141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2.779999732971191" hidden="0" customWidth="1"/>
    <x:col min="3" max="3" width="12.220000267028809" hidden="0" customWidth="1"/>
    <x:col min="4" max="4" width="13.329999923706055" hidden="0" customWidth="1"/>
    <x:col min="5" max="5" width="13.890000343322754" hidden="0" customWidth="1"/>
    <x:col min="6" max="6" width="11.109999656677246" hidden="0" customWidth="1"/>
    <x:col min="7" max="7" width="15.560000419616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Satellite anomaly detection — system-level comparison</x:v>
      </x:c>
      <x:c r="B2" s="2"/>
      <x:c r="C2" s="2"/>
      <x:c r="D2" s="2"/>
      <x:c r="E2" s="2"/>
      <x:c r="F2" s="2"/>
      <x:c r="G2" s="2"/>
    </x:row>
    <x:row r="3" ht="28" customHeight="1">
      <x:c r="A3" s="2" t="str">
        <x:v>Shared data: train 2000–2005; calibration 2006; test 2007–2013. Inputs: channels 40–47.</x:v>
      </x:c>
      <x:c r="B3" s="2"/>
      <x:c r="C3" s="2"/>
      <x:c r="D3" s="2"/>
      <x:c r="E3" s="2"/>
      <x:c r="F3" s="2"/>
      <x:c r="G3" s="2"/>
    </x:row>
    <x:row r="4" ht="28" customHeight="1">
      <x:c r="A4" s="2" t="str">
        <x:v>Shared budget: 40 epochs, all nominal training windows, batch 64. One completed run per technique, seed 42.</x:v>
      </x:c>
      <x:c r="B4" s="2"/>
      <x:c r="C4" s="2"/>
      <x:c r="D4" s="2"/>
      <x:c r="E4" s="2"/>
      <x:c r="F4" s="2"/>
      <x:c r="G4" s="2"/>
    </x:row>
    <x:row r="5" ht="28" customHeight="1">
      <x:c r="A5" s="2" t="str">
        <x:v>System evaluation includes Anomaly and Rare Event IDs from all 76 channels. Both runs are complete and verified.</x:v>
      </x:c>
      <x:c r="B5" s="2"/>
      <x:c r="C5" s="2"/>
      <x:c r="D5" s="2"/>
      <x:c r="E5" s="2"/>
      <x:c r="F5" s="2"/>
      <x:c r="G5" s="2"/>
    </x:row>
    <x:row r="6" ht="28" customHeight="1">
      <x:c r="A6" s="2"/>
      <x:c r="B6" s="2"/>
      <x:c r="C6" s="2"/>
      <x:c r="D6" s="2"/>
      <x:c r="E6" s="2"/>
      <x:c r="F6" s="2"/>
      <x:c r="G6" s="2"/>
    </x:row>
    <x:row r="7" ht="28" customHeight="1">
      <x:c r="A7" s="4" t="str">
        <x:v>Pooled results — continuous 2007–2013 assessment</x:v>
      </x:c>
      <x:c r="B7" s="2"/>
      <x:c r="C7" s="2"/>
      <x:c r="D7" s="2"/>
      <x:c r="E7" s="2"/>
      <x:c r="F7" s="2"/>
      <x:c r="G7" s="2"/>
    </x:row>
    <x:row r="8" ht="35" customHeight="1">
      <x:c r="A8" s="7" t="str">
        <x:v>Technique</x:v>
      </x:c>
      <x:c r="B8" s="7" t="str">
        <x:v>Inputs</x:v>
      </x:c>
      <x:c r="C8" s="7" t="str">
        <x:v>Precision</x:v>
      </x:c>
      <x:c r="D8" s="7" t="str">
        <x:v>TPR (event)</x:v>
      </x:c>
      <x:c r="E8" s="7" t="str">
        <x:v>FPR (time)</x:v>
      </x:c>
      <x:c r="F8" s="7" t="str">
        <x:v>F0.5</x:v>
      </x:c>
      <x:c r="G8" s="7" t="str">
        <x:v>Status</x:v>
      </x:c>
    </x:row>
    <x:row r="9" ht="28" customHeight="1">
      <x:c r="A9" s="13" t="str">
        <x:v>Baseline Transformer AE</x:v>
      </x:c>
      <x:c r="B9" s="13" t="str">
        <x:v>40–47</x:v>
      </x:c>
      <x:c r="C9" s="14" t="n">
        <x:v>0.8848713352240037</x:v>
      </x:c>
      <x:c r="D9" s="14" t="n">
        <x:v>0.5934065934065934</x:v>
      </x:c>
      <x:c r="E9" s="15" t="n">
        <x:v>0.00042312132103283773</x:v>
      </x:c>
      <x:c r="F9" s="19" t="n">
        <x:f>IF(0.25*C9+D9=0,0,1.25*C9*D9/(0.25*C9+D9))</x:f>
        <x:v>0.8057217336876309</x:v>
      </x:c>
      <x:c r="G9" s="13" t="str">
        <x:v>Complete</x:v>
      </x:c>
    </x:row>
    <x:row r="10" ht="28" customHeight="1">
      <x:c r="A10" s="16" t="str">
        <x:v>Remove short rolls</x:v>
      </x:c>
      <x:c r="B10" s="16" t="str">
        <x:v>40–47</x:v>
      </x:c>
      <x:c r="C10" s="17" t="n">
        <x:v>0.9793058582615488</x:v>
      </x:c>
      <x:c r="D10" s="17" t="n">
        <x:v>0.5274725274725275</x:v>
      </x:c>
      <x:c r="E10" s="18" t="n">
        <x:v>0.0002919363580021761</x:v>
      </x:c>
      <x:c r="F10" s="20" t="n">
        <x:f>IF(0.25*C10+D10=0,0,1.25*C10*D10/(0.25*C10+D10))</x:f>
        <x:v>0.8360701968268796</x:v>
      </x:c>
      <x:c r="G10" s="16" t="str">
        <x:v>Complete</x:v>
      </x:c>
    </x:row>
    <x:row r="11" ht="28" customHeight="1">
      <x:c r="A11" s="2"/>
      <x:c r="B11" s="2"/>
      <x:c r="C11" s="2"/>
      <x:c r="D11" s="2"/>
      <x:c r="E11" s="2"/>
      <x:c r="F11" s="2"/>
      <x:c r="G11" s="2"/>
    </x:row>
    <x:row r="12" ht="28" customHeight="1">
      <x:c r="A12" s="8" t="str">
        <x:v>TPR (event) = detected target event IDs / total target event IDs. This is event recall.</x:v>
      </x:c>
      <x:c r="B12" s="2"/>
      <x:c r="C12" s="2"/>
      <x:c r="D12" s="2"/>
      <x:c r="E12" s="2"/>
      <x:c r="F12" s="2"/>
      <x:c r="G12" s="2"/>
    </x:row>
    <x:row r="13" ht="28" customHeight="1">
      <x:c r="A13" s="8" t="str">
        <x:v>FPR (time) = nominal false-alarm duration / total nominal duration, excluding annotated intervals.</x:v>
      </x:c>
      <x:c r="B13" s="2"/>
      <x:c r="C13" s="2"/>
      <x:c r="D13" s="2"/>
      <x:c r="E13" s="2"/>
      <x:c r="F13" s="2"/>
      <x:c r="G13" s="2"/>
    </x:row>
    <x:row r="14" ht="28" customHeight="1">
      <x:c r="A14" s="8" t="str">
        <x:v>FPR is duration-based, not pointwise FP/(FP+TN). It uses a different unit from event TPR.</x:v>
      </x:c>
      <x:c r="B14" s="2"/>
      <x:c r="C14" s="2"/>
      <x:c r="D14" s="2"/>
      <x:c r="E14" s="2"/>
      <x:c r="F14" s="2"/>
      <x:c r="G14" s="2"/>
    </x:row>
    <x:row r="15" ht="28" customHeight="1">
      <x:c r="A15" s="8" t="str">
        <x:v>Earlier development experiments used different periods or budgets and are excluded from this comparison.</x:v>
      </x:c>
      <x:c r="B15" s="2"/>
      <x:c r="C15" s="2"/>
      <x:c r="D15" s="2"/>
      <x:c r="E15" s="2"/>
      <x:c r="F15" s="2"/>
      <x:c r="G15" s="2"/>
    </x:row>
    <x:row r="16" ht="28" customHeight="1">
      <x:c r="A16" s="8" t="str">
        <x:v>This compares complete augmentation methods; the historical baseline is not a short-roll-only ablation control.</x:v>
      </x:c>
      <x:c r="B16" s="2"/>
      <x:c r="C16" s="2"/>
      <x:c r="D16" s="2"/>
      <x:c r="E16" s="2"/>
      <x:c r="F16" s="2"/>
      <x:c r="G16" s="2"/>
    </x:row>
    <x:row r="17" ht="28" customHeight="1">
      <x:c r="A17" s="8" t="str">
        <x:v>The benchmark was previously inspected. The pooled F0.5 is rescored over seven years, not averaged by year.</x:v>
      </x:c>
      <x:c r="B17" s="2"/>
      <x:c r="C17" s="2"/>
      <x:c r="D17" s="2"/>
      <x:c r="E17" s="2"/>
      <x:c r="F17" s="2"/>
      <x:c r="G17" s="2"/>
    </x:row>
    <x:row r="18" ht="28" customHeight="1">
      <x:c r="A18" s="2"/>
      <x:c r="B18" s="2"/>
      <x:c r="C18" s="2"/>
      <x:c r="D18" s="2"/>
      <x:c r="E18" s="2"/>
      <x:c r="F18" s="2"/>
      <x:c r="G18" s="2"/>
    </x:row>
    <x:row r="19" ht="28" customHeight="1">
      <x:c r="A19" s="4" t="str">
        <x:v>Yearly system results — same frozen model and threshold across all years</x:v>
      </x:c>
      <x:c r="B19" s="2"/>
      <x:c r="C19" s="2"/>
      <x:c r="D19" s="2"/>
      <x:c r="E19" s="2"/>
      <x:c r="F19" s="2"/>
      <x:c r="G19" s="2"/>
    </x:row>
    <x:row r="20" ht="35" customHeight="1">
      <x:c r="A20" s="7" t="str">
        <x:v>Technique</x:v>
      </x:c>
      <x:c r="B20" s="7" t="str">
        <x:v>Test year</x:v>
      </x:c>
      <x:c r="C20" s="7" t="str">
        <x:v>Precision</x:v>
      </x:c>
      <x:c r="D20" s="7" t="str">
        <x:v>TPR (event)</x:v>
      </x:c>
      <x:c r="E20" s="7" t="str">
        <x:v>FPR (time)</x:v>
      </x:c>
      <x:c r="F20" s="7" t="str">
        <x:v>F0.5</x:v>
      </x:c>
      <x:c r="G20" s="7" t="str">
        <x:v>Status</x:v>
      </x:c>
    </x:row>
    <x:row r="21" ht="28" customHeight="1">
      <x:c r="A21" s="13" t="str">
        <x:v>Baseline Transformer AE</x:v>
      </x:c>
      <x:c r="B21" s="21" t="n">
        <x:v>2007</x:v>
      </x:c>
      <x:c r="C21" s="14" t="n">
        <x:v>0.812122808532445</x:v>
      </x:c>
      <x:c r="D21" s="14" t="n">
        <x:v>0.8125</x:v>
      </x:c>
      <x:c r="E21" s="15" t="n">
        <x:v>0.000464235652375411</x:v>
      </x:c>
      <x:c r="F21" s="14" t="n">
        <x:f>IF(0.25*C21+D21=0,0,1.25*C21*D21/(0.25*C21+D21))</x:f>
        <x:v>0.8121982188064382</x:v>
      </x:c>
      <x:c r="G21" s="13" t="str">
        <x:v>Complete</x:v>
      </x:c>
    </x:row>
    <x:row r="22" ht="28" customHeight="1">
      <x:c r="A22" s="16" t="str">
        <x:v>Remove short rolls</x:v>
      </x:c>
      <x:c r="B22" s="22" t="n">
        <x:v>2007</x:v>
      </x:c>
      <x:c r="C22" s="17" t="n">
        <x:v>0.9995390140067242</x:v>
      </x:c>
      <x:c r="D22" s="17" t="n">
        <x:v>0.6875</x:v>
      </x:c>
      <x:c r="E22" s="18" t="n">
        <x:v>0.0004609859932758198</x:v>
      </x:c>
      <x:c r="F22" s="17" t="n">
        <x:f>IF(0.25*C22+D22=0,0,1.25*C22*D22/(0.25*C22+D22))</x:f>
        <x:v>0.916356743539128</x:v>
      </x:c>
      <x:c r="G22" s="16" t="str">
        <x:v>Complete</x:v>
      </x:c>
    </x:row>
    <x:row r="23" ht="28" customHeight="1">
      <x:c r="A23" s="13" t="str">
        <x:v>Baseline Transformer AE</x:v>
      </x:c>
      <x:c r="B23" s="21" t="n">
        <x:v>2008</x:v>
      </x:c>
      <x:c r="C23" s="14" t="n">
        <x:v>0.7771721069469436</x:v>
      </x:c>
      <x:c r="D23" s="14" t="n">
        <x:v>0.5384615384615384</x:v>
      </x:c>
      <x:c r="E23" s="15" t="n">
        <x:v>0.0007787196396439322</x:v>
      </x:c>
      <x:c r="F23" s="14" t="n">
        <x:f>IF(0.25*C23+D23=0,0,1.25*C23*D23/(0.25*C23+D23))</x:f>
        <x:v>0.7138769723031541</x:v>
      </x:c>
      <x:c r="G23" s="13" t="str">
        <x:v>Complete</x:v>
      </x:c>
    </x:row>
    <x:row r="24" ht="28" customHeight="1">
      <x:c r="A24" s="16" t="str">
        <x:v>Remove short rolls</x:v>
      </x:c>
      <x:c r="B24" s="22" t="n">
        <x:v>2008</x:v>
      </x:c>
      <x:c r="C24" s="17" t="n">
        <x:v>0.999508119418822</x:v>
      </x:c>
      <x:c r="D24" s="17" t="n">
        <x:v>0.5384615384615384</x:v>
      </x:c>
      <x:c r="E24" s="18" t="n">
        <x:v>0.0004918805811779947</x:v>
      </x:c>
      <x:c r="F24" s="17" t="n">
        <x:f>IF(0.25*C24+D24=0,0,1.25*C24*D24/(0.25*C24+D24))</x:f>
        <x:v>0.8533717322059889</x:v>
      </x:c>
      <x:c r="G24" s="16" t="str">
        <x:v>Complete</x:v>
      </x:c>
    </x:row>
    <x:row r="25" ht="28" customHeight="1">
      <x:c r="A25" s="13" t="str">
        <x:v>Baseline Transformer AE</x:v>
      </x:c>
      <x:c r="B25" s="21" t="n">
        <x:v>2009</x:v>
      </x:c>
      <x:c r="C25" s="14" t="n">
        <x:v>0.999439848238542</x:v>
      </x:c>
      <x:c r="D25" s="14" t="n">
        <x:v>0.6666666666666666</x:v>
      </x:c>
      <x:c r="E25" s="15" t="n">
        <x:v>0.000560151761457961</x:v>
      </x:c>
      <x:c r="F25" s="14" t="n">
        <x:f>IF(0.25*C25+D25=0,0,1.25*C25*D25/(0.25*C25+D25))</x:f>
        <x:v>0.9087205042326162</x:v>
      </x:c>
      <x:c r="G25" s="13" t="str">
        <x:v>Complete</x:v>
      </x:c>
    </x:row>
    <x:row r="26" ht="28" customHeight="1">
      <x:c r="A26" s="16" t="str">
        <x:v>Remove short rolls</x:v>
      </x:c>
      <x:c r="B26" s="22" t="n">
        <x:v>2009</x:v>
      </x:c>
      <x:c r="C26" s="17" t="n">
        <x:v>0.9995740169758751</x:v>
      </x:c>
      <x:c r="D26" s="17" t="n">
        <x:v>0.5833333333333334</x:v>
      </x:c>
      <x:c r="E26" s="18" t="n">
        <x:v>0.0004259830241248874</x:v>
      </x:c>
      <x:c r="F26" s="17" t="n">
        <x:f>IF(0.25*C26+D26=0,0,1.25*C26*D26/(0.25*C26+D26))</x:f>
        <x:v>0.8747390520499043</x:v>
      </x:c>
      <x:c r="G26" s="16" t="str">
        <x:v>Complete</x:v>
      </x:c>
    </x:row>
    <x:row r="27" ht="28" customHeight="1">
      <x:c r="A27" s="13" t="str">
        <x:v>Baseline Transformer AE</x:v>
      </x:c>
      <x:c r="B27" s="21" t="n">
        <x:v>2010</x:v>
      </x:c>
      <x:c r="C27" s="14" t="n">
        <x:v>0.9997350139445674</x:v>
      </x:c>
      <x:c r="D27" s="14" t="n">
        <x:v>0.4166666666666667</x:v>
      </x:c>
      <x:c r="E27" s="15" t="n">
        <x:v>0.00026498605543257003</x:v>
      </x:c>
      <x:c r="F27" s="14" t="n">
        <x:f>IF(0.25*C27+D27=0,0,1.25*C27*D27/(0.25*C27+D27))</x:f>
        <x:v>0.7811205994191147</x:v>
      </x:c>
      <x:c r="G27" s="13" t="str">
        <x:v>Complete</x:v>
      </x:c>
    </x:row>
    <x:row r="28" ht="28" customHeight="1">
      <x:c r="A28" s="16" t="str">
        <x:v>Remove short rolls</x:v>
      </x:c>
      <x:c r="B28" s="22" t="n">
        <x:v>2010</x:v>
      </x:c>
      <x:c r="C28" s="17" t="n">
        <x:v>0.9998081763526087</x:v>
      </x:c>
      <x:c r="D28" s="17" t="n">
        <x:v>0.25</x:v>
      </x:c>
      <x:c r="E28" s="18" t="n">
        <x:v>0.0001918236473913426</x:v>
      </x:c>
      <x:c r="F28" s="17" t="n">
        <x:f>IF(0.25*C28+D28=0,0,1.25*C28*D28/(0.25*C28+D28))</x:f>
        <x:v>0.624940049360215</x:v>
      </x:c>
      <x:c r="G28" s="16" t="str">
        <x:v>Complete</x:v>
      </x:c>
    </x:row>
    <x:row r="29" ht="28" customHeight="1">
      <x:c r="A29" s="13" t="str">
        <x:v>Baseline Transformer AE</x:v>
      </x:c>
      <x:c r="B29" s="21" t="n">
        <x:v>2011</x:v>
      </x:c>
      <x:c r="C29" s="14" t="n">
        <x:v>0.9996233578709021</x:v>
      </x:c>
      <x:c r="D29" s="14" t="n">
        <x:v>0.4666666666666667</x:v>
      </x:c>
      <x:c r="E29" s="15" t="n">
        <x:v>0.00037664212909793715</x:v>
      </x:c>
      <x:c r="F29" s="14" t="n">
        <x:f>IF(0.25*C29+D29=0,0,1.25*C29*D29/(0.25*C29+D29))</x:f>
        <x:v>0.8137538357009343</x:v>
      </x:c>
      <x:c r="G29" s="13" t="str">
        <x:v>Complete</x:v>
      </x:c>
    </x:row>
    <x:row r="30" ht="28" customHeight="1">
      <x:c r="A30" s="16" t="str">
        <x:v>Remove short rolls</x:v>
      </x:c>
      <x:c r="B30" s="22" t="n">
        <x:v>2011</x:v>
      </x:c>
      <x:c r="C30" s="17" t="n">
        <x:v>0.9998584247339305</x:v>
      </x:c>
      <x:c r="D30" s="17" t="n">
        <x:v>0.5333333333333333</x:v>
      </x:c>
      <x:c r="E30" s="18" t="n">
        <x:v>0.00014157526606950466</x:v>
      </x:c>
      <x:c r="F30" s="17" t="n">
        <x:f>IF(0.25*C30+D30=0,0,1.25*C30*D30/(0.25*C30+D30))</x:f>
        <x:v>0.850981790616141</x:v>
      </x:c>
      <x:c r="G30" s="16" t="str">
        <x:v>Complete</x:v>
      </x:c>
    </x:row>
    <x:row r="31" ht="28" customHeight="1">
      <x:c r="A31" s="13" t="str">
        <x:v>Baseline Transformer AE</x:v>
      </x:c>
      <x:c r="B31" s="21" t="n">
        <x:v>2012</x:v>
      </x:c>
      <x:c r="C31" s="14" t="n">
        <x:v>0.7140406749775321</x:v>
      </x:c>
      <x:c r="D31" s="14" t="n">
        <x:v>0.5</x:v>
      </x:c>
      <x:c r="E31" s="15" t="n">
        <x:v>0.0003430550314550418</x:v>
      </x:c>
      <x:c r="F31" s="14" t="n">
        <x:f>IF(0.25*C31+D31=0,0,1.25*C31*D31/(0.25*C31+D31))</x:f>
        <x:v>0.6577284209119703</x:v>
      </x:c>
      <x:c r="G31" s="13" t="str">
        <x:v>Complete</x:v>
      </x:c>
    </x:row>
    <x:row r="32" ht="28" customHeight="1">
      <x:c r="A32" s="16" t="str">
        <x:v>Remove short rolls</x:v>
      </x:c>
      <x:c r="B32" s="22" t="n">
        <x:v>2012</x:v>
      </x:c>
      <x:c r="C32" s="17" t="n">
        <x:v>0.7999153173230444</x:v>
      </x:c>
      <x:c r="D32" s="17" t="n">
        <x:v>0.4</x:v>
      </x:c>
      <x:c r="E32" s="18" t="n">
        <x:v>0.00010585334619450659</x:v>
      </x:c>
      <x:c r="F32" s="17" t="n">
        <x:f>IF(0.25*C32+D32=0,0,1.25*C32*D32/(0.25*C32+D32))</x:f>
        <x:v>0.6666196190749765</x:v>
      </x:c>
      <x:c r="G32" s="16" t="str">
        <x:v>Complete</x:v>
      </x:c>
    </x:row>
    <x:row r="33" ht="28" customHeight="1">
      <x:c r="A33" s="13" t="str">
        <x:v>Baseline Transformer AE</x:v>
      </x:c>
      <x:c r="B33" s="21" t="n">
        <x:v>2013</x:v>
      </x:c>
      <x:c r="C33" s="14" t="n">
        <x:v>0.9998392011629614</x:v>
      </x:c>
      <x:c r="D33" s="14" t="n">
        <x:v>0.6428571428571429</x:v>
      </x:c>
      <x:c r="E33" s="15" t="n">
        <x:v>0.00016079883703856712</x:v>
      </x:c>
      <x:c r="F33" s="14" t="n">
        <x:f>IF(0.25*C33+D33=0,0,1.25*C33*D33/(0.25*C33+D33))</x:f>
        <x:v>0.8998957976620268</x:v>
      </x:c>
      <x:c r="G33" s="13" t="str">
        <x:v>Complete</x:v>
      </x:c>
    </x:row>
    <x:row r="34" ht="28" customHeight="1">
      <x:c r="A34" s="16" t="str">
        <x:v>Remove short rolls</x:v>
      </x:c>
      <x:c r="B34" s="22" t="n">
        <x:v>2013</x:v>
      </x:c>
      <x:c r="C34" s="17" t="n">
        <x:v>0.9997639198660909</x:v>
      </x:c>
      <x:c r="D34" s="17" t="n">
        <x:v>0.5714285714285714</x:v>
      </x:c>
      <x:c r="E34" s="18" t="n">
        <x:v>0.0002360801339090779</x:v>
      </x:c>
      <x:c r="F34" s="17" t="n">
        <x:f>IF(0.25*C34+D34=0,0,1.25*C34*D34/(0.25*C34+D34))</x:f>
        <x:v>0.8694223987311318</x:v>
      </x:c>
      <x:c r="G34" s="16" t="str">
        <x:v>Complete</x:v>
      </x:c>
    </x:row>
    <x:row r="35" ht="28" customHeight="1">
      <x:c r="A35" s="2"/>
      <x:c r="B35" s="2"/>
      <x:c r="C35" s="2"/>
      <x:c r="D35" s="2"/>
      <x:c r="E35" s="2"/>
      <x:c r="F35" s="2"/>
      <x:c r="G35" s="2"/>
    </x:row>
    <x:row r="36" ht="28" customHeight="1">
      <x:c r="A36" s="2"/>
      <x:c r="B36" s="2"/>
      <x:c r="C36" s="2"/>
      <x:c r="D36" s="2"/>
      <x:c r="E36" s="2"/>
      <x:c r="F36" s="2"/>
      <x:c r="G36" s="2"/>
    </x:row>
  </x:sheetData>
  <x:conditionalFormatting sqref="G9:G10">
    <x:cfRule type="containsText" dxfId="0" priority="1" operator="containsText" text="In progress"/>
  </x:conditionalFormatting>
  <x:conditionalFormatting sqref="G21:G34">
    <x:cfRule type="containsText" dxfId="1" priority="2" operator="containsText" text="In progress"/>
  </x:conditionalFormatting>
  <x:pageMargins left="0.7" right="0.7" top="0.75" bottom="0.75" header="0.3" footer="0.3"/>
  <x:legacyDrawing xmlns:r="http://schemas.openxmlformats.org/officeDocument/2006/relationships" r:id="R1bdba4d802914153"/>
</x:worksheet>
</file>